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ethschafsta\Documents\GitHub\P_Bulles-Snake\Docs\"/>
    </mc:Choice>
  </mc:AlternateContent>
  <bookViews>
    <workbookView xWindow="0" yWindow="0" windowWidth="28800" windowHeight="12300" activeTab="1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5" i="12"/>
  <c r="C6" i="12"/>
  <c r="C7" i="12"/>
  <c r="C12" i="12"/>
  <c r="B24" i="12" l="1"/>
  <c r="C23" i="12"/>
  <c r="C22" i="12"/>
  <c r="C21" i="12"/>
  <c r="C20" i="12"/>
  <c r="C19" i="12"/>
  <c r="C18" i="12"/>
  <c r="C17" i="12"/>
  <c r="C16" i="12"/>
  <c r="C24" i="12"/>
  <c r="B36" i="12" l="1"/>
  <c r="B48" i="12"/>
  <c r="C47" i="12"/>
  <c r="C46" i="12"/>
  <c r="C45" i="12"/>
  <c r="C44" i="12"/>
  <c r="B60" i="12"/>
  <c r="C59" i="12"/>
  <c r="C58" i="12"/>
  <c r="C57" i="12"/>
  <c r="B72" i="12"/>
  <c r="C71" i="12"/>
  <c r="C70" i="12"/>
  <c r="C69" i="12"/>
  <c r="C35" i="12"/>
  <c r="C33" i="12"/>
  <c r="C28" i="12"/>
  <c r="C40" i="12"/>
  <c r="C52" i="12"/>
  <c r="C65" i="12"/>
  <c r="C36" i="12"/>
  <c r="C56" i="12"/>
  <c r="C60" i="12"/>
  <c r="C64" i="12"/>
  <c r="C72" i="12"/>
  <c r="C43" i="12"/>
  <c r="C68" i="12"/>
  <c r="C67" i="12"/>
  <c r="C48" i="12"/>
  <c r="C29" i="12"/>
  <c r="C30" i="12"/>
  <c r="C53" i="12"/>
  <c r="C42" i="12"/>
  <c r="C66" i="12"/>
  <c r="C32" i="12"/>
  <c r="C31" i="12"/>
  <c r="C55" i="12"/>
  <c r="C54" i="12"/>
  <c r="B84" i="12" l="1"/>
  <c r="C83" i="12"/>
  <c r="C82" i="12"/>
  <c r="C84" i="12"/>
  <c r="C81" i="12"/>
  <c r="C79" i="12"/>
  <c r="C77" i="12"/>
  <c r="C76" i="12"/>
  <c r="C80" i="12"/>
  <c r="C78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<sst xmlns="http://schemas.openxmlformats.org/spreadsheetml/2006/main" count="328" uniqueCount="90">
  <si>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</si>
  <si>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</si>
  <si>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</si>
  <si>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</si>
  <si>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</si>
  <si>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</si>
  <si>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</si>
  <si>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</si>
  <si>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</si>
  <si>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</si>
  <si>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</si>
  <si>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</si>
  <si>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NNN - Compétence du module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</si>
  <si>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</si>
  <si>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</si>
  <si>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</si>
  <si>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</si>
  <si>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</si>
  <si>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</si>
  <si>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</si>
  <si>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</si>
  <si>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</si>
  <si>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</si>
  <si>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</si>
  <si>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</si>
  <si>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</si>
  <si>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</si>
  <si>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</si>
  <si>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</si>
  <si>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</si>
  <si>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</si>
  <si>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</si>
  <si>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</si>
  <si>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</si>
  <si>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</si>
  <si>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</si>
  <si>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</si>
  <si>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</si>
  <si>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</si>
  <si>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</si>
  <si>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</si>
  <si>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</si>
  <si>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</si>
  <si>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</si>
  <si>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</si>
  <si>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</si>
  <si>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</si>
  <si>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Aide mémoire</t>
  </si>
  <si>
    <t>Codage</t>
  </si>
  <si>
    <t>Du 07.11.2023 au 09.01.2024</t>
  </si>
  <si>
    <t>CID2B</t>
  </si>
  <si>
    <t>Ethan Schafstall</t>
  </si>
  <si>
    <t>Séquence 4</t>
  </si>
  <si>
    <t>Download and created the JNL files</t>
  </si>
  <si>
    <t>Autres</t>
  </si>
  <si>
    <t>Talked with colleagues about the algorithm</t>
  </si>
  <si>
    <t>Worked on the aide mémoire</t>
  </si>
  <si>
    <t>Set up the github rep, github desktop, node.js, and other tools needed</t>
  </si>
  <si>
    <t>Research on how JS functions.</t>
  </si>
  <si>
    <t>More research on JS classes and the how different variables/functions work/interact</t>
  </si>
  <si>
    <t>Showing code to colleagues, or general technical chit chat</t>
  </si>
  <si>
    <t>Game logic coding (functions), add the fuctions to the game loop</t>
  </si>
  <si>
    <t>Coded the the base classes, main, testing the game loop</t>
  </si>
  <si>
    <t>Finished the main</t>
  </si>
  <si>
    <t>Research on how to optimize the code (removing as many loops as possible), how on how js treats arrays + all array related functions</t>
  </si>
  <si>
    <t>Started process of refracting code, removing hard coded values, reducing the amount of loops</t>
  </si>
  <si>
    <t xml:space="preserve">Talked with a colleague/teacher about somes, spliting arrays, looping through arrays without needing a loops  </t>
  </si>
  <si>
    <t>Updated JNLTRAV</t>
  </si>
  <si>
    <t>Went to the school infirmerie</t>
  </si>
  <si>
    <t>Worked on reducing the amount of hardcoded values and loops</t>
  </si>
  <si>
    <t>Research on how to create a gameover screen</t>
  </si>
  <si>
    <t>Went home (sick)</t>
  </si>
  <si>
    <t>More coding to optimize the code, removed all hard coded values and most loops</t>
  </si>
  <si>
    <t>Bug fixing</t>
  </si>
  <si>
    <t>Research on how to further optimize code</t>
  </si>
  <si>
    <t>Talked with colleagues</t>
  </si>
  <si>
    <t>Séquence 5</t>
  </si>
  <si>
    <t>Created the main rapport doc, formated it, added chapters, content</t>
  </si>
  <si>
    <t>Cleaned github</t>
  </si>
  <si>
    <t>Retouche code</t>
  </si>
  <si>
    <t>Eval 80%</t>
  </si>
  <si>
    <t>Finir document aide mémoire/rapport</t>
  </si>
  <si>
    <t>Derniere remplissage du JNLTRAV</t>
  </si>
  <si>
    <t>Malade</t>
  </si>
  <si>
    <t>Travail sur rapport</t>
  </si>
  <si>
    <t>Retouches code</t>
  </si>
  <si>
    <t>25h35min</t>
  </si>
  <si>
    <t>+ 25h35min</t>
  </si>
  <si>
    <t>Séquence 6</t>
  </si>
  <si>
    <t>Séquence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</si>
</sst>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28" xfId="0" applyFont="1" applyFill="1" applyBorder="1"/>
    <xf numFmtId="0" fontId="2" fillId="17" borderId="77" xfId="0" applyFont="1" applyFill="1" applyBorder="1"/>
    <xf numFmtId="0" fontId="2" fillId="17" borderId="5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 applyProtection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17" borderId="27" xfId="0" applyFont="1" applyFill="1" applyBorder="1" applyProtection="1"/>
    <xf numFmtId="164" fontId="7" fillId="4" borderId="17" xfId="0" applyNumberFormat="1" applyFont="1" applyFill="1" applyBorder="1" applyAlignment="1" applyProtection="1">
      <alignment horizontal="center" vertical="center"/>
    </xf>
    <xf numFmtId="164" fontId="7" fillId="4" borderId="15" xfId="0" applyNumberFormat="1" applyFont="1" applyFill="1" applyBorder="1" applyAlignment="1" applyProtection="1">
      <alignment horizontal="center" vertical="center"/>
    </xf>
  </cellXfs>
  <cellStyles count="2">
    <cellStyle name="Lien hypertexte" xfId="1" builtinId="8"/>
    <cellStyle name="Normal" xfId="0" builtinId="0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Aide mémoire</c:v>
              </c:pt>
              <c:pt idx="6">
                <c:v>Codage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8"/>
              <c:pt idx="0">
                <c:v>5.5799999237060547</c:v>
              </c:pt>
              <c:pt idx="1">
                <c:v>3.5799999237060547</c:v>
              </c:pt>
              <c:pt idx="2">
                <c:v>0</c:v>
              </c:pt>
              <c:pt idx="3">
                <c:v>1</c:v>
              </c:pt>
              <c:pt idx="4">
                <c:v>4.8299999237060547</c:v>
              </c:pt>
              <c:pt idx="5">
                <c:v>1.3300000429153442</c:v>
              </c:pt>
              <c:pt idx="6">
                <c:v>9.25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8934944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0" t="s">
        <v>35</v>
      </c>
      <c r="C35" s="180"/>
      <c r="D35" s="180"/>
      <c r="E35" s="107" t="s">
        <v>44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1" t="s">
        <v>36</v>
      </c>
      <c r="C37" s="181"/>
      <c r="D37" s="181"/>
      <c r="E37" s="109" t="s">
        <v>86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31</v>
      </c>
      <c r="E39" s="179" t="s">
        <v>87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PJ99"/>
  <sheetViews>
    <sheetView showGridLines="0" tabSelected="1" topLeftCell="D1" zoomScale="55" zoomScaleNormal="55" zoomScaleSheetLayoutView="43" workbookViewId="0">
      <selection activeCell="HT7" sqref="HT7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25" width="1.140625" style="3" customWidth="1"/>
    <col min="426" max="426" width="2.7109375" style="3" customWidth="1"/>
    <col min="427" max="16384" width="11.42578125" style="3"/>
  </cols>
  <sheetData>
    <row r="1" spans="1:426" ht="35.1" customHeight="1" x14ac:dyDescent="0.25">
      <c r="B1" s="95"/>
      <c r="C1" s="182" t="s">
        <v>32</v>
      </c>
      <c r="D1" s="182"/>
      <c r="E1" s="18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93">
        <v>1</v>
      </c>
    </row>
    <row r="2" spans="1:4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90"/>
    </row>
    <row r="3" spans="1:426" ht="30" customHeight="1" x14ac:dyDescent="0.25">
      <c r="B3" s="96"/>
      <c r="C3" s="7" t="s">
        <v>0</v>
      </c>
      <c r="D3" s="140"/>
      <c r="E3" s="8" t="s">
        <v>12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90"/>
    </row>
    <row r="4" spans="1:426" ht="30" customHeight="1" x14ac:dyDescent="0.25">
      <c r="B4" s="96"/>
      <c r="C4" s="12" t="s">
        <v>6</v>
      </c>
      <c r="D4" s="141"/>
      <c r="E4" s="13" t="s">
        <v>51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90"/>
    </row>
    <row r="5" spans="1:426" ht="30" customHeight="1" x14ac:dyDescent="0.25">
      <c r="B5" s="96"/>
      <c r="C5" s="12" t="s">
        <v>1</v>
      </c>
      <c r="D5" s="141"/>
      <c r="E5" s="13" t="s">
        <v>50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90"/>
    </row>
    <row r="6" spans="1:42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90"/>
    </row>
    <row r="7" spans="1:426" ht="20.100000000000001" customHeight="1" thickBot="1" x14ac:dyDescent="0.3">
      <c r="B7" s="96"/>
      <c r="C7" s="183"/>
      <c r="D7" s="183"/>
      <c r="E7" s="18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90"/>
    </row>
    <row r="8" spans="1:426" ht="30" customHeight="1" x14ac:dyDescent="0.25">
      <c r="B8" s="96"/>
      <c r="C8" s="7" t="s">
        <v>3</v>
      </c>
      <c r="D8" s="140"/>
      <c r="E8" s="8" t="s">
        <v>49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90"/>
    </row>
    <row r="9" spans="1:426" ht="30" customHeight="1" x14ac:dyDescent="0.25">
      <c r="B9" s="96"/>
      <c r="C9" s="12" t="s">
        <v>19</v>
      </c>
      <c r="D9" s="141"/>
      <c r="E9" s="13" t="s">
        <v>23</v>
      </c>
      <c r="F9" s="14"/>
      <c r="G9" s="190" t="str">
        <f>E96</f>
        <v>0h</v>
      </c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19"/>
      <c r="W9" s="189" t="s">
        <v>24</v>
      </c>
      <c r="X9" s="189"/>
      <c r="Y9" s="189"/>
      <c r="Z9" s="189"/>
      <c r="AA9" s="189"/>
      <c r="AB9" s="189"/>
      <c r="AC9" s="189"/>
      <c r="AD9" s="189"/>
      <c r="AE9" s="189"/>
      <c r="AF9" s="189"/>
      <c r="AG9" s="189"/>
      <c r="AH9" s="190" t="str">
        <f>E98</f>
        <v>25h35min</v>
      </c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90"/>
    </row>
    <row r="10" spans="1:4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2"/>
      <c r="BO10" s="192"/>
      <c r="BP10" s="192"/>
      <c r="BQ10" s="192"/>
      <c r="BR10" s="192"/>
      <c r="BS10" s="192"/>
      <c r="BT10" s="192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192"/>
      <c r="CO10" s="192"/>
      <c r="CP10" s="192"/>
      <c r="CQ10" s="92"/>
      <c r="CR10" s="191"/>
      <c r="CS10" s="191"/>
      <c r="CT10" s="191"/>
      <c r="CU10" s="191"/>
      <c r="CV10" s="191"/>
      <c r="CW10" s="191"/>
      <c r="CX10" s="191"/>
      <c r="CY10" s="191"/>
      <c r="CZ10" s="191"/>
      <c r="DA10" s="191"/>
      <c r="DB10" s="191"/>
      <c r="DC10" s="191"/>
      <c r="DD10" s="191"/>
      <c r="DE10" s="191"/>
      <c r="DF10" s="191"/>
      <c r="DG10" s="191"/>
      <c r="DH10" s="191"/>
      <c r="DI10" s="191"/>
      <c r="DJ10" s="191"/>
      <c r="DK10" s="191"/>
      <c r="DL10" s="191"/>
      <c r="DM10" s="191"/>
      <c r="DN10" s="191"/>
      <c r="DO10" s="191"/>
      <c r="DP10" s="191"/>
      <c r="DQ10" s="191"/>
      <c r="DR10" s="191"/>
      <c r="DS10" s="191"/>
      <c r="DT10" s="191"/>
      <c r="DU10" s="191"/>
      <c r="DV10" s="191"/>
      <c r="DW10" s="191"/>
      <c r="DX10" s="191"/>
      <c r="DY10" s="191"/>
      <c r="DZ10" s="191"/>
      <c r="EA10" s="191"/>
      <c r="EB10" s="191"/>
      <c r="EC10" s="191"/>
      <c r="ED10" s="191"/>
      <c r="EE10" s="191"/>
      <c r="EF10" s="191"/>
      <c r="EG10" s="191"/>
      <c r="EH10" s="191"/>
      <c r="EI10" s="191"/>
      <c r="EJ10" s="191"/>
      <c r="EK10" s="191"/>
      <c r="EL10" s="191"/>
      <c r="EM10" s="191"/>
      <c r="EN10" s="191"/>
      <c r="EO10" s="191"/>
      <c r="EP10" s="191"/>
      <c r="EQ10" s="191"/>
      <c r="ER10" s="191"/>
      <c r="ES10" s="191"/>
      <c r="ET10" s="191"/>
      <c r="EU10" s="191"/>
      <c r="EV10" s="191"/>
      <c r="EW10" s="191"/>
      <c r="EX10" s="191"/>
      <c r="EY10" s="191"/>
      <c r="EZ10" s="191"/>
      <c r="FA10" s="191"/>
      <c r="FB10" s="191"/>
      <c r="FC10" s="191"/>
      <c r="FD10" s="191"/>
      <c r="FE10" s="191"/>
      <c r="FF10" s="191"/>
      <c r="FG10" s="191"/>
      <c r="FH10" s="191"/>
      <c r="FI10" s="191"/>
      <c r="FJ10" s="191"/>
      <c r="FK10" s="191"/>
      <c r="FL10" s="191"/>
      <c r="FM10" s="191"/>
      <c r="FN10" s="191"/>
      <c r="FO10" s="191"/>
      <c r="FP10" s="191"/>
      <c r="FQ10" s="191"/>
      <c r="FR10" s="191"/>
      <c r="FS10" s="191"/>
      <c r="FT10" s="191"/>
      <c r="FU10" s="191"/>
      <c r="FV10" s="191"/>
      <c r="FW10" s="191"/>
      <c r="FX10" s="191"/>
      <c r="FY10" s="191"/>
      <c r="FZ10" s="191"/>
      <c r="GA10" s="191"/>
      <c r="GB10" s="191"/>
      <c r="GC10" s="191"/>
      <c r="GD10" s="191"/>
      <c r="GE10" s="191"/>
      <c r="GF10" s="191"/>
      <c r="GG10" s="191"/>
      <c r="GH10" s="191"/>
      <c r="GI10" s="191"/>
      <c r="GJ10" s="191"/>
      <c r="GK10" s="191"/>
      <c r="GL10" s="191"/>
      <c r="GM10" s="191"/>
      <c r="GN10" s="191"/>
      <c r="GO10" s="191"/>
      <c r="GP10" s="191"/>
      <c r="GQ10" s="191"/>
      <c r="GR10" s="191"/>
      <c r="GS10" s="191"/>
      <c r="GT10" s="191"/>
      <c r="GU10" s="191"/>
      <c r="GV10" s="191"/>
      <c r="GW10" s="191"/>
      <c r="GX10" s="191"/>
      <c r="GY10" s="191"/>
      <c r="GZ10" s="191"/>
      <c r="HA10" s="191"/>
      <c r="HB10" s="191"/>
      <c r="HC10" s="191"/>
      <c r="HD10" s="191"/>
      <c r="HE10" s="191"/>
      <c r="HF10" s="191"/>
      <c r="HG10" s="191"/>
      <c r="HH10" s="191"/>
      <c r="HI10" s="191"/>
      <c r="HJ10" s="191"/>
      <c r="HK10" s="191"/>
      <c r="HL10" s="191"/>
      <c r="HM10" s="191"/>
      <c r="HN10" s="191"/>
      <c r="HO10" s="191"/>
      <c r="HP10" s="191"/>
      <c r="HQ10" s="191"/>
      <c r="HR10" s="191"/>
      <c r="HS10" s="191"/>
      <c r="HT10" s="191"/>
      <c r="HU10" s="191"/>
      <c r="HV10" s="191"/>
      <c r="HW10" s="191"/>
      <c r="HX10" s="191"/>
      <c r="HY10" s="191"/>
      <c r="HZ10" s="191"/>
      <c r="IA10" s="191"/>
      <c r="IB10" s="191"/>
      <c r="IC10" s="191"/>
      <c r="ID10" s="191"/>
      <c r="IE10" s="191"/>
      <c r="IF10" s="191"/>
      <c r="IG10" s="191"/>
      <c r="IH10" s="191"/>
      <c r="II10" s="191"/>
      <c r="IJ10" s="191"/>
      <c r="IK10" s="191"/>
      <c r="IL10" s="191"/>
      <c r="IM10" s="191"/>
      <c r="IN10" s="191"/>
      <c r="IO10" s="191"/>
      <c r="IP10" s="191"/>
      <c r="IQ10" s="191"/>
      <c r="IR10" s="191"/>
      <c r="IS10" s="191"/>
      <c r="IT10" s="191"/>
      <c r="IU10" s="191"/>
      <c r="IV10" s="191"/>
      <c r="IW10" s="191"/>
      <c r="IX10" s="191"/>
      <c r="IY10" s="191"/>
      <c r="IZ10" s="191"/>
      <c r="JA10" s="191"/>
      <c r="JB10" s="191"/>
      <c r="JC10" s="191"/>
      <c r="JD10" s="191"/>
      <c r="JE10" s="191"/>
      <c r="JF10" s="191"/>
      <c r="JG10" s="191"/>
      <c r="JH10" s="191"/>
      <c r="JI10" s="191"/>
      <c r="JJ10" s="191"/>
      <c r="JK10" s="191"/>
      <c r="JL10" s="191"/>
      <c r="JM10" s="191"/>
      <c r="JN10" s="191"/>
      <c r="JO10" s="191"/>
      <c r="JP10" s="191"/>
      <c r="JQ10" s="191"/>
      <c r="JR10" s="191"/>
      <c r="JS10" s="191"/>
      <c r="JT10" s="191"/>
      <c r="JU10" s="191"/>
      <c r="JV10" s="191"/>
      <c r="JW10" s="191"/>
      <c r="JX10" s="191"/>
      <c r="JY10" s="191"/>
      <c r="JZ10" s="191"/>
      <c r="KA10" s="191"/>
      <c r="KB10" s="191"/>
      <c r="KC10" s="191"/>
      <c r="KD10" s="191"/>
      <c r="KE10" s="191"/>
      <c r="KF10" s="191"/>
      <c r="KG10" s="191"/>
      <c r="KH10" s="191"/>
      <c r="KI10" s="191"/>
      <c r="KJ10" s="191"/>
      <c r="KK10" s="191"/>
      <c r="KL10" s="191"/>
      <c r="KM10" s="191"/>
      <c r="KN10" s="191"/>
      <c r="KO10" s="191"/>
      <c r="KP10" s="191"/>
      <c r="KQ10" s="191"/>
      <c r="KR10" s="191"/>
      <c r="KS10" s="191"/>
      <c r="KT10" s="191"/>
      <c r="KU10" s="191"/>
      <c r="KV10" s="191"/>
      <c r="KW10" s="191"/>
      <c r="KX10" s="191"/>
      <c r="KY10" s="191"/>
      <c r="KZ10" s="191"/>
      <c r="LA10" s="191"/>
      <c r="LB10" s="191"/>
      <c r="LC10" s="191"/>
      <c r="LD10" s="191"/>
      <c r="LE10" s="191"/>
      <c r="LF10" s="191"/>
      <c r="LG10" s="191"/>
      <c r="LH10" s="191"/>
      <c r="LI10" s="191"/>
      <c r="LJ10" s="191"/>
      <c r="LK10" s="191"/>
      <c r="LL10" s="191"/>
      <c r="LM10" s="191"/>
      <c r="LN10" s="191"/>
      <c r="LO10" s="191"/>
      <c r="LP10" s="191"/>
      <c r="LQ10" s="191"/>
      <c r="LR10" s="191"/>
      <c r="LS10" s="191"/>
      <c r="LT10" s="191"/>
      <c r="LU10" s="191"/>
      <c r="LV10" s="191"/>
      <c r="LW10" s="191"/>
      <c r="LX10" s="191"/>
      <c r="LY10" s="191"/>
      <c r="LZ10" s="191"/>
      <c r="MA10" s="191"/>
      <c r="MB10" s="191"/>
      <c r="MC10" s="191"/>
      <c r="MD10" s="191"/>
      <c r="ME10" s="191"/>
      <c r="MF10" s="191"/>
      <c r="MG10" s="191"/>
      <c r="MH10" s="191"/>
      <c r="MI10" s="191"/>
      <c r="MJ10" s="191"/>
      <c r="MK10" s="191"/>
      <c r="ML10" s="191"/>
      <c r="MM10" s="191"/>
      <c r="MN10" s="191"/>
      <c r="MO10" s="191"/>
      <c r="MP10" s="191"/>
      <c r="MQ10" s="191"/>
      <c r="MR10" s="191"/>
      <c r="MS10" s="191"/>
      <c r="MT10" s="191"/>
      <c r="MU10" s="191"/>
      <c r="MV10" s="191"/>
      <c r="MW10" s="191"/>
      <c r="MX10" s="191"/>
      <c r="MY10" s="191"/>
      <c r="MZ10" s="191"/>
      <c r="NA10" s="191"/>
      <c r="NB10" s="191"/>
      <c r="NC10" s="191"/>
      <c r="ND10" s="191"/>
      <c r="NE10" s="191"/>
      <c r="NF10" s="191"/>
      <c r="NG10" s="191"/>
      <c r="NH10" s="191"/>
      <c r="NI10" s="191"/>
      <c r="NJ10" s="191"/>
      <c r="NK10" s="191"/>
      <c r="NL10" s="191"/>
      <c r="NM10" s="191"/>
      <c r="NN10" s="191"/>
      <c r="NO10" s="191"/>
      <c r="NP10" s="191"/>
      <c r="NQ10" s="191"/>
      <c r="NR10" s="191"/>
      <c r="NS10" s="191"/>
      <c r="NT10" s="191"/>
      <c r="NU10" s="191"/>
      <c r="NV10" s="191"/>
      <c r="NW10" s="191"/>
      <c r="NX10" s="191"/>
      <c r="NY10" s="191"/>
      <c r="NZ10" s="191"/>
      <c r="OA10" s="191"/>
      <c r="OB10" s="191"/>
      <c r="OC10" s="191"/>
      <c r="OD10" s="191"/>
      <c r="OE10" s="191"/>
      <c r="OF10" s="191"/>
      <c r="OG10" s="191"/>
      <c r="OH10" s="191"/>
      <c r="OI10" s="191"/>
      <c r="OJ10" s="191"/>
      <c r="OK10" s="191"/>
      <c r="OL10" s="191"/>
      <c r="OM10" s="191"/>
      <c r="ON10" s="191"/>
      <c r="OO10" s="191"/>
      <c r="OP10" s="191"/>
      <c r="OQ10" s="191"/>
      <c r="OR10" s="191"/>
      <c r="OS10" s="191"/>
      <c r="OT10" s="191"/>
      <c r="OU10" s="191"/>
      <c r="OV10" s="191"/>
      <c r="OW10" s="191"/>
      <c r="OX10" s="191"/>
      <c r="OY10" s="191"/>
      <c r="OZ10" s="191"/>
      <c r="PA10" s="191"/>
      <c r="PB10" s="191"/>
      <c r="PC10" s="191"/>
      <c r="PD10" s="191"/>
      <c r="PE10" s="191"/>
      <c r="PF10" s="191"/>
      <c r="PG10" s="191"/>
      <c r="PH10" s="191"/>
      <c r="PI10" s="191"/>
      <c r="PJ10" s="90"/>
    </row>
    <row r="11" spans="1:426" ht="20.100000000000001" customHeight="1" x14ac:dyDescent="0.25">
      <c r="B11" s="96"/>
      <c r="C11" s="197"/>
      <c r="D11" s="197"/>
      <c r="E11" s="197"/>
      <c r="F11" s="188" t="s">
        <v>45</v>
      </c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  <c r="BK11" s="188"/>
      <c r="BL11" s="188"/>
      <c r="BM11" s="188"/>
      <c r="BN11" s="188" t="s">
        <v>45</v>
      </c>
      <c r="BO11" s="188"/>
      <c r="BP11" s="188"/>
      <c r="BQ11" s="188"/>
      <c r="BR11" s="188"/>
      <c r="BS11" s="188"/>
      <c r="BT11" s="188"/>
      <c r="BU11" s="188"/>
      <c r="BV11" s="188"/>
      <c r="BW11" s="188"/>
      <c r="BX11" s="188"/>
      <c r="BY11" s="188"/>
      <c r="BZ11" s="188"/>
      <c r="CA11" s="188"/>
      <c r="CB11" s="188"/>
      <c r="CC11" s="188"/>
      <c r="CD11" s="188"/>
      <c r="CE11" s="188"/>
      <c r="CF11" s="188"/>
      <c r="CG11" s="188"/>
      <c r="CH11" s="188"/>
      <c r="CI11" s="188"/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99" t="s">
        <v>45</v>
      </c>
      <c r="DW11" s="199"/>
      <c r="DX11" s="199"/>
      <c r="DY11" s="199"/>
      <c r="DZ11" s="199"/>
      <c r="EA11" s="199"/>
      <c r="EB11" s="199"/>
      <c r="EC11" s="199"/>
      <c r="ED11" s="199"/>
      <c r="EE11" s="199"/>
      <c r="EF11" s="199"/>
      <c r="EG11" s="199"/>
      <c r="EH11" s="199"/>
      <c r="EI11" s="199"/>
      <c r="EJ11" s="199"/>
      <c r="EK11" s="199"/>
      <c r="EL11" s="199"/>
      <c r="EM11" s="199"/>
      <c r="EN11" s="199"/>
      <c r="EO11" s="199"/>
      <c r="EP11" s="199"/>
      <c r="EQ11" s="199"/>
      <c r="ER11" s="199"/>
      <c r="ES11" s="199"/>
      <c r="ET11" s="199"/>
      <c r="EU11" s="199"/>
      <c r="EV11" s="199"/>
      <c r="EW11" s="199"/>
      <c r="EX11" s="199"/>
      <c r="EY11" s="199"/>
      <c r="EZ11" s="199"/>
      <c r="FA11" s="199"/>
      <c r="FB11" s="199"/>
      <c r="FC11" s="199"/>
      <c r="FD11" s="199"/>
      <c r="FE11" s="199"/>
      <c r="FF11" s="199"/>
      <c r="FG11" s="199"/>
      <c r="FH11" s="199"/>
      <c r="FI11" s="199"/>
      <c r="FJ11" s="199"/>
      <c r="FK11" s="199"/>
      <c r="FL11" s="199"/>
      <c r="FM11" s="199"/>
      <c r="FN11" s="199"/>
      <c r="FO11" s="199"/>
      <c r="FP11" s="199"/>
      <c r="FQ11" s="199"/>
      <c r="FR11" s="199"/>
      <c r="FS11" s="199"/>
      <c r="FT11" s="199"/>
      <c r="FU11" s="199"/>
      <c r="FV11" s="199"/>
      <c r="FW11" s="199"/>
      <c r="FX11" s="199"/>
      <c r="FY11" s="199"/>
      <c r="FZ11" s="199"/>
      <c r="GA11" s="199"/>
      <c r="GB11" s="199"/>
      <c r="GC11" s="199"/>
      <c r="GD11" s="199"/>
      <c r="GE11" s="199"/>
      <c r="GF11" s="199"/>
      <c r="GG11" s="199"/>
      <c r="GH11" s="199"/>
      <c r="GI11" s="199"/>
      <c r="GJ11" s="199"/>
      <c r="GK11" s="199"/>
      <c r="GL11" s="199"/>
      <c r="GM11" s="199"/>
      <c r="GN11" s="199"/>
      <c r="GO11" s="199"/>
      <c r="GP11" s="199"/>
      <c r="GQ11" s="199"/>
      <c r="GR11" s="199"/>
      <c r="GS11" s="199"/>
      <c r="GT11" s="199"/>
      <c r="GU11" s="199"/>
      <c r="GV11" s="199"/>
      <c r="GW11" s="199"/>
      <c r="GX11" s="199"/>
      <c r="GY11" s="199"/>
      <c r="GZ11" s="199"/>
      <c r="HA11" s="199"/>
      <c r="HB11" s="199"/>
      <c r="HC11" s="199"/>
      <c r="HD11" s="199"/>
      <c r="HE11" s="199"/>
      <c r="HF11" s="199"/>
      <c r="HG11" s="199"/>
      <c r="HH11" s="199"/>
      <c r="HI11" s="199"/>
      <c r="HJ11" s="199"/>
      <c r="HK11" s="199"/>
      <c r="HL11" s="199"/>
      <c r="HM11" s="199"/>
      <c r="HN11" s="199"/>
      <c r="HO11" s="199"/>
      <c r="HP11" s="199"/>
      <c r="HQ11" s="199"/>
      <c r="HR11" s="199"/>
      <c r="HS11" s="199"/>
      <c r="HT11" s="199"/>
      <c r="HU11" s="199"/>
      <c r="HV11" s="199"/>
      <c r="HW11" s="199"/>
      <c r="HX11" s="199"/>
      <c r="HY11" s="199"/>
      <c r="HZ11" s="199"/>
      <c r="IA11" s="199"/>
      <c r="IB11" s="199"/>
      <c r="IC11" s="199"/>
      <c r="ID11" s="199"/>
      <c r="IE11" s="199"/>
      <c r="IF11" s="199"/>
      <c r="IG11" s="199"/>
      <c r="IH11" s="199"/>
      <c r="II11" s="199"/>
      <c r="IJ11" s="199"/>
      <c r="IK11" s="199"/>
      <c r="IL11" s="199"/>
      <c r="IM11" s="199"/>
      <c r="IN11" s="199"/>
      <c r="IO11" s="199"/>
      <c r="IP11" s="199"/>
      <c r="IQ11" s="199"/>
      <c r="IR11" s="199"/>
      <c r="IS11" s="199"/>
      <c r="IT11" s="199"/>
      <c r="IU11" s="199"/>
      <c r="IV11" s="199"/>
      <c r="IW11" s="199"/>
      <c r="IX11" s="199"/>
      <c r="IY11" s="199"/>
      <c r="IZ11" s="199"/>
      <c r="JA11" s="199"/>
      <c r="JB11" s="199"/>
      <c r="JC11" s="199"/>
      <c r="JD11" s="199"/>
      <c r="JE11" s="199"/>
      <c r="JF11" s="199"/>
      <c r="JG11" s="199"/>
      <c r="JH11" s="199"/>
      <c r="JI11" s="199"/>
      <c r="JJ11" s="199"/>
      <c r="JK11" s="199"/>
      <c r="JL11" s="199"/>
      <c r="JM11" s="199"/>
      <c r="JN11" s="199"/>
      <c r="JO11" s="199"/>
      <c r="JP11" s="199"/>
      <c r="JQ11" s="199"/>
      <c r="JR11" s="199"/>
      <c r="JS11" s="199"/>
      <c r="JT11" s="199"/>
      <c r="JU11" s="199"/>
      <c r="JV11" s="199"/>
      <c r="JW11" s="199"/>
      <c r="JX11" s="199"/>
      <c r="JY11" s="199"/>
      <c r="JZ11" s="199"/>
      <c r="KA11" s="199"/>
      <c r="KB11" s="199"/>
      <c r="KC11" s="199"/>
      <c r="KD11" s="199"/>
      <c r="KE11" s="199"/>
      <c r="KF11" s="199"/>
      <c r="KG11" s="199"/>
      <c r="KH11" s="199"/>
      <c r="KI11" s="199"/>
      <c r="KJ11" s="199"/>
      <c r="KK11" s="199"/>
      <c r="KL11" s="199"/>
      <c r="KM11" s="199"/>
      <c r="KN11" s="199"/>
      <c r="KO11" s="199"/>
      <c r="KP11" s="199"/>
      <c r="KQ11" s="199"/>
      <c r="KR11" s="199"/>
      <c r="KS11" s="199"/>
      <c r="KT11" s="199"/>
      <c r="KU11" s="199"/>
      <c r="KV11" s="199"/>
      <c r="KW11" s="199"/>
      <c r="KX11" s="199"/>
      <c r="KY11" s="199"/>
      <c r="KZ11" s="199"/>
      <c r="LA11" s="199"/>
      <c r="LB11" s="199"/>
      <c r="LC11" s="199"/>
      <c r="LD11" s="199"/>
      <c r="LE11" s="199"/>
      <c r="LF11" s="199"/>
      <c r="LG11" s="199"/>
      <c r="LH11" s="199"/>
      <c r="LI11" s="199"/>
      <c r="LJ11" s="199"/>
      <c r="LK11" s="199"/>
      <c r="LL11" s="199"/>
      <c r="LM11" s="199"/>
      <c r="LN11" s="199"/>
      <c r="LO11" s="199"/>
      <c r="LP11" s="199"/>
      <c r="LQ11" s="199"/>
      <c r="LR11" s="199"/>
      <c r="LS11" s="199"/>
      <c r="LT11" s="199"/>
      <c r="LU11" s="199"/>
      <c r="LV11" s="199"/>
      <c r="LW11" s="199"/>
      <c r="LX11" s="199"/>
      <c r="LY11" s="199"/>
      <c r="LZ11" s="199"/>
      <c r="MA11" s="199"/>
      <c r="MB11" s="199"/>
      <c r="MC11" s="199"/>
      <c r="MD11" s="199"/>
      <c r="ME11" s="199"/>
      <c r="MF11" s="199"/>
      <c r="MG11" s="199"/>
      <c r="MH11" s="199"/>
      <c r="MI11" s="199"/>
      <c r="MJ11" s="199"/>
      <c r="MK11" s="199"/>
      <c r="ML11" s="199"/>
      <c r="MM11" s="199"/>
      <c r="MN11" s="199"/>
      <c r="MO11" s="199"/>
      <c r="MP11" s="199"/>
      <c r="MQ11" s="199"/>
      <c r="MR11" s="199"/>
      <c r="MS11" s="199"/>
      <c r="MT11" s="199"/>
      <c r="MU11" s="199"/>
      <c r="MV11" s="199"/>
      <c r="MW11" s="199"/>
      <c r="MX11" s="199"/>
      <c r="MY11" s="199"/>
      <c r="MZ11" s="199"/>
      <c r="NA11" s="199"/>
      <c r="NB11" s="199"/>
      <c r="NC11" s="199"/>
      <c r="ND11" s="199"/>
      <c r="NE11" s="199"/>
      <c r="NF11" s="199"/>
      <c r="NG11" s="199"/>
      <c r="NH11" s="199"/>
      <c r="NI11" s="199"/>
      <c r="NJ11" s="199"/>
      <c r="NK11" s="199"/>
      <c r="NL11" s="199"/>
      <c r="NM11" s="199"/>
      <c r="NN11" s="199"/>
      <c r="NO11" s="199"/>
      <c r="NP11" s="199"/>
      <c r="NQ11" s="199"/>
      <c r="NR11" s="199"/>
      <c r="NS11" s="199"/>
      <c r="NT11" s="199"/>
      <c r="NU11" s="199"/>
      <c r="NV11" s="199"/>
      <c r="NW11" s="199"/>
      <c r="NX11" s="199"/>
      <c r="NY11" s="199"/>
      <c r="NZ11" s="199"/>
      <c r="OA11" s="199"/>
      <c r="OB11" s="199"/>
      <c r="OC11" s="199"/>
      <c r="OD11" s="199"/>
      <c r="OE11" s="199"/>
      <c r="OF11" s="199"/>
      <c r="OG11" s="199"/>
      <c r="OH11" s="199"/>
      <c r="OI11" s="199"/>
      <c r="OJ11" s="199"/>
      <c r="OK11" s="199"/>
      <c r="OL11" s="199"/>
      <c r="OM11" s="199"/>
      <c r="ON11" s="199"/>
      <c r="OO11" s="199"/>
      <c r="OP11" s="199"/>
      <c r="OQ11" s="199"/>
      <c r="OR11" s="199"/>
      <c r="OS11" s="199"/>
      <c r="OT11" s="199"/>
      <c r="OU11" s="199"/>
      <c r="OV11" s="199"/>
      <c r="OW11" s="199"/>
      <c r="OX11" s="199"/>
      <c r="OY11" s="199"/>
      <c r="OZ11" s="199"/>
      <c r="PA11" s="199"/>
      <c r="PB11" s="199"/>
      <c r="PC11" s="199"/>
      <c r="PD11" s="199"/>
      <c r="PE11" s="199"/>
      <c r="PF11" s="199"/>
      <c r="PG11" s="199"/>
      <c r="PH11" s="199"/>
      <c r="PI11" s="199"/>
      <c r="PJ11" s="90"/>
    </row>
    <row r="12" spans="1:426" ht="15.75" customHeight="1" thickBot="1" x14ac:dyDescent="0.3">
      <c r="B12" s="97"/>
      <c r="C12" s="198"/>
      <c r="D12" s="198"/>
      <c r="E12" s="198"/>
      <c r="F12" s="187" t="s">
        <v>46</v>
      </c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 t="s">
        <v>46</v>
      </c>
      <c r="BO12" s="187"/>
      <c r="BP12" s="187"/>
      <c r="BQ12" s="187"/>
      <c r="BR12" s="187"/>
      <c r="BS12" s="187"/>
      <c r="BT12" s="187"/>
      <c r="BU12" s="187"/>
      <c r="BV12" s="187"/>
      <c r="BW12" s="187"/>
      <c r="BX12" s="187"/>
      <c r="BY12" s="187"/>
      <c r="BZ12" s="187"/>
      <c r="CA12" s="187"/>
      <c r="CB12" s="187"/>
      <c r="CC12" s="187"/>
      <c r="CD12" s="187"/>
      <c r="CE12" s="187"/>
      <c r="CF12" s="187"/>
      <c r="CG12" s="187"/>
      <c r="CH12" s="187"/>
      <c r="CI12" s="187"/>
      <c r="CJ12" s="187"/>
      <c r="CK12" s="187"/>
      <c r="CL12" s="187"/>
      <c r="CM12" s="187"/>
      <c r="CN12" s="187"/>
      <c r="CO12" s="187"/>
      <c r="CP12" s="187"/>
      <c r="CQ12" s="187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7"/>
      <c r="DK12" s="187"/>
      <c r="DL12" s="187"/>
      <c r="DM12" s="187"/>
      <c r="DN12" s="187"/>
      <c r="DO12" s="187"/>
      <c r="DP12" s="187"/>
      <c r="DQ12" s="187"/>
      <c r="DR12" s="187"/>
      <c r="DS12" s="187"/>
      <c r="DT12" s="187"/>
      <c r="DU12" s="187"/>
      <c r="DV12" s="200" t="s">
        <v>46</v>
      </c>
      <c r="DW12" s="200"/>
      <c r="DX12" s="200"/>
      <c r="DY12" s="200"/>
      <c r="DZ12" s="200"/>
      <c r="EA12" s="200"/>
      <c r="EB12" s="200"/>
      <c r="EC12" s="200"/>
      <c r="ED12" s="200"/>
      <c r="EE12" s="200"/>
      <c r="EF12" s="200"/>
      <c r="EG12" s="200"/>
      <c r="EH12" s="200"/>
      <c r="EI12" s="200"/>
      <c r="EJ12" s="200"/>
      <c r="EK12" s="200"/>
      <c r="EL12" s="200"/>
      <c r="EM12" s="200"/>
      <c r="EN12" s="200"/>
      <c r="EO12" s="200"/>
      <c r="EP12" s="200"/>
      <c r="EQ12" s="200"/>
      <c r="ER12" s="200"/>
      <c r="ES12" s="200"/>
      <c r="ET12" s="200"/>
      <c r="EU12" s="200"/>
      <c r="EV12" s="200"/>
      <c r="EW12" s="200"/>
      <c r="EX12" s="200"/>
      <c r="EY12" s="200"/>
      <c r="EZ12" s="200"/>
      <c r="FA12" s="200"/>
      <c r="FB12" s="200"/>
      <c r="FC12" s="200"/>
      <c r="FD12" s="200"/>
      <c r="FE12" s="200"/>
      <c r="FF12" s="200"/>
      <c r="FG12" s="200"/>
      <c r="FH12" s="200"/>
      <c r="FI12" s="200"/>
      <c r="FJ12" s="200"/>
      <c r="FK12" s="200"/>
      <c r="FL12" s="200"/>
      <c r="FM12" s="200"/>
      <c r="FN12" s="200"/>
      <c r="FO12" s="200"/>
      <c r="FP12" s="200"/>
      <c r="FQ12" s="200"/>
      <c r="FR12" s="200"/>
      <c r="FS12" s="200"/>
      <c r="FT12" s="200"/>
      <c r="FU12" s="200"/>
      <c r="FV12" s="200"/>
      <c r="FW12" s="200"/>
      <c r="FX12" s="200"/>
      <c r="FY12" s="200"/>
      <c r="FZ12" s="200"/>
      <c r="GA12" s="200"/>
      <c r="GB12" s="200"/>
      <c r="GC12" s="200"/>
      <c r="GD12" s="200"/>
      <c r="GE12" s="200"/>
      <c r="GF12" s="200"/>
      <c r="GG12" s="200"/>
      <c r="GH12" s="200"/>
      <c r="GI12" s="200"/>
      <c r="GJ12" s="200"/>
      <c r="GK12" s="200"/>
      <c r="GL12" s="200"/>
      <c r="GM12" s="200"/>
      <c r="GN12" s="200"/>
      <c r="GO12" s="200"/>
      <c r="GP12" s="200"/>
      <c r="GQ12" s="200"/>
      <c r="GR12" s="200"/>
      <c r="GS12" s="200"/>
      <c r="GT12" s="200"/>
      <c r="GU12" s="200"/>
      <c r="GV12" s="200"/>
      <c r="GW12" s="200"/>
      <c r="GX12" s="200"/>
      <c r="GY12" s="200"/>
      <c r="GZ12" s="200"/>
      <c r="HA12" s="200"/>
      <c r="HB12" s="200"/>
      <c r="HC12" s="200"/>
      <c r="HD12" s="200"/>
      <c r="HE12" s="200"/>
      <c r="HF12" s="200"/>
      <c r="HG12" s="200"/>
      <c r="HH12" s="200"/>
      <c r="HI12" s="200"/>
      <c r="HJ12" s="200"/>
      <c r="HK12" s="200"/>
      <c r="HL12" s="200"/>
      <c r="HM12" s="200"/>
      <c r="HN12" s="200"/>
      <c r="HO12" s="200"/>
      <c r="HP12" s="200"/>
      <c r="HQ12" s="200"/>
      <c r="HR12" s="200"/>
      <c r="HS12" s="200"/>
      <c r="HT12" s="200"/>
      <c r="HU12" s="200"/>
      <c r="HV12" s="200"/>
      <c r="HW12" s="200"/>
      <c r="HX12" s="200"/>
      <c r="HY12" s="200"/>
      <c r="HZ12" s="200"/>
      <c r="IA12" s="200"/>
      <c r="IB12" s="200"/>
      <c r="IC12" s="200"/>
      <c r="ID12" s="200"/>
      <c r="IE12" s="200"/>
      <c r="IF12" s="200"/>
      <c r="IG12" s="200"/>
      <c r="IH12" s="200"/>
      <c r="II12" s="200"/>
      <c r="IJ12" s="200"/>
      <c r="IK12" s="200"/>
      <c r="IL12" s="200"/>
      <c r="IM12" s="200"/>
      <c r="IN12" s="200"/>
      <c r="IO12" s="200"/>
      <c r="IP12" s="200"/>
      <c r="IQ12" s="200"/>
      <c r="IR12" s="200"/>
      <c r="IS12" s="200"/>
      <c r="IT12" s="200"/>
      <c r="IU12" s="200"/>
      <c r="IV12" s="200"/>
      <c r="IW12" s="200"/>
      <c r="IX12" s="200"/>
      <c r="IY12" s="200"/>
      <c r="IZ12" s="200"/>
      <c r="JA12" s="200"/>
      <c r="JB12" s="200"/>
      <c r="JC12" s="200"/>
      <c r="JD12" s="200"/>
      <c r="JE12" s="200"/>
      <c r="JF12" s="200"/>
      <c r="JG12" s="200"/>
      <c r="JH12" s="200"/>
      <c r="JI12" s="200"/>
      <c r="JJ12" s="200"/>
      <c r="JK12" s="200"/>
      <c r="JL12" s="200"/>
      <c r="JM12" s="200"/>
      <c r="JN12" s="200"/>
      <c r="JO12" s="200"/>
      <c r="JP12" s="200"/>
      <c r="JQ12" s="200"/>
      <c r="JR12" s="200"/>
      <c r="JS12" s="200"/>
      <c r="JT12" s="200"/>
      <c r="JU12" s="200"/>
      <c r="JV12" s="200"/>
      <c r="JW12" s="200"/>
      <c r="JX12" s="200"/>
      <c r="JY12" s="200"/>
      <c r="JZ12" s="200"/>
      <c r="KA12" s="200"/>
      <c r="KB12" s="200"/>
      <c r="KC12" s="200"/>
      <c r="KD12" s="200"/>
      <c r="KE12" s="200"/>
      <c r="KF12" s="200"/>
      <c r="KG12" s="200"/>
      <c r="KH12" s="200"/>
      <c r="KI12" s="200"/>
      <c r="KJ12" s="200"/>
      <c r="KK12" s="200"/>
      <c r="KL12" s="200"/>
      <c r="KM12" s="200"/>
      <c r="KN12" s="200"/>
      <c r="KO12" s="200"/>
      <c r="KP12" s="200"/>
      <c r="KQ12" s="200"/>
      <c r="KR12" s="200"/>
      <c r="KS12" s="200"/>
      <c r="KT12" s="200"/>
      <c r="KU12" s="200"/>
      <c r="KV12" s="200"/>
      <c r="KW12" s="200"/>
      <c r="KX12" s="200"/>
      <c r="KY12" s="200"/>
      <c r="KZ12" s="200"/>
      <c r="LA12" s="200"/>
      <c r="LB12" s="200"/>
      <c r="LC12" s="200"/>
      <c r="LD12" s="200"/>
      <c r="LE12" s="200"/>
      <c r="LF12" s="200"/>
      <c r="LG12" s="200"/>
      <c r="LH12" s="200"/>
      <c r="LI12" s="200"/>
      <c r="LJ12" s="200"/>
      <c r="LK12" s="200"/>
      <c r="LL12" s="200"/>
      <c r="LM12" s="200"/>
      <c r="LN12" s="200"/>
      <c r="LO12" s="200"/>
      <c r="LP12" s="200"/>
      <c r="LQ12" s="200"/>
      <c r="LR12" s="200"/>
      <c r="LS12" s="200"/>
      <c r="LT12" s="200"/>
      <c r="LU12" s="200"/>
      <c r="LV12" s="200"/>
      <c r="LW12" s="200"/>
      <c r="LX12" s="200"/>
      <c r="LY12" s="200"/>
      <c r="LZ12" s="200"/>
      <c r="MA12" s="200"/>
      <c r="MB12" s="200"/>
      <c r="MC12" s="200"/>
      <c r="MD12" s="200"/>
      <c r="ME12" s="200"/>
      <c r="MF12" s="200"/>
      <c r="MG12" s="200"/>
      <c r="MH12" s="200"/>
      <c r="MI12" s="200"/>
      <c r="MJ12" s="200"/>
      <c r="MK12" s="200"/>
      <c r="ML12" s="200"/>
      <c r="MM12" s="200"/>
      <c r="MN12" s="200"/>
      <c r="MO12" s="200"/>
      <c r="MP12" s="200"/>
      <c r="MQ12" s="200"/>
      <c r="MR12" s="200"/>
      <c r="MS12" s="200"/>
      <c r="MT12" s="200"/>
      <c r="MU12" s="200"/>
      <c r="MV12" s="200"/>
      <c r="MW12" s="200"/>
      <c r="MX12" s="200"/>
      <c r="MY12" s="200"/>
      <c r="MZ12" s="200"/>
      <c r="NA12" s="200"/>
      <c r="NB12" s="200"/>
      <c r="NC12" s="200"/>
      <c r="ND12" s="200"/>
      <c r="NE12" s="200"/>
      <c r="NF12" s="200"/>
      <c r="NG12" s="200"/>
      <c r="NH12" s="200"/>
      <c r="NI12" s="200"/>
      <c r="NJ12" s="200"/>
      <c r="NK12" s="200"/>
      <c r="NL12" s="200"/>
      <c r="NM12" s="200"/>
      <c r="NN12" s="200"/>
      <c r="NO12" s="200"/>
      <c r="NP12" s="200"/>
      <c r="NQ12" s="200"/>
      <c r="NR12" s="200"/>
      <c r="NS12" s="200"/>
      <c r="NT12" s="200"/>
      <c r="NU12" s="200"/>
      <c r="NV12" s="200"/>
      <c r="NW12" s="200"/>
      <c r="NX12" s="200"/>
      <c r="NY12" s="200"/>
      <c r="NZ12" s="200"/>
      <c r="OA12" s="200"/>
      <c r="OB12" s="200"/>
      <c r="OC12" s="200"/>
      <c r="OD12" s="200"/>
      <c r="OE12" s="200"/>
      <c r="OF12" s="200"/>
      <c r="OG12" s="200"/>
      <c r="OH12" s="200"/>
      <c r="OI12" s="200"/>
      <c r="OJ12" s="200"/>
      <c r="OK12" s="200"/>
      <c r="OL12" s="200"/>
      <c r="OM12" s="200"/>
      <c r="ON12" s="200"/>
      <c r="OO12" s="200"/>
      <c r="OP12" s="200"/>
      <c r="OQ12" s="200"/>
      <c r="OR12" s="200"/>
      <c r="OS12" s="200"/>
      <c r="OT12" s="200"/>
      <c r="OU12" s="200"/>
      <c r="OV12" s="200"/>
      <c r="OW12" s="200"/>
      <c r="OX12" s="200"/>
      <c r="OY12" s="200"/>
      <c r="OZ12" s="200"/>
      <c r="PA12" s="200"/>
      <c r="PB12" s="200"/>
      <c r="PC12" s="200"/>
      <c r="PD12" s="200"/>
      <c r="PE12" s="200"/>
      <c r="PF12" s="200"/>
      <c r="PG12" s="200"/>
      <c r="PH12" s="200"/>
      <c r="PI12" s="200"/>
      <c r="PJ12" s="90"/>
    </row>
    <row r="13" spans="1:426" ht="42.75" customHeight="1" thickBot="1" x14ac:dyDescent="0.3">
      <c r="B13" s="96"/>
      <c r="C13" s="193" t="s">
        <v>7</v>
      </c>
      <c r="D13" s="144"/>
      <c r="E13" s="195" t="s">
        <v>42</v>
      </c>
      <c r="F13" s="201" t="s">
        <v>8</v>
      </c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2"/>
      <c r="BI13" s="202"/>
      <c r="BJ13" s="202"/>
      <c r="BK13" s="202"/>
      <c r="BL13" s="202"/>
      <c r="BM13" s="203"/>
      <c r="BN13" s="201" t="s">
        <v>29</v>
      </c>
      <c r="BO13" s="202"/>
      <c r="BP13" s="202"/>
      <c r="BQ13" s="202"/>
      <c r="BR13" s="202"/>
      <c r="BS13" s="202"/>
      <c r="BT13" s="202"/>
      <c r="BU13" s="202"/>
      <c r="BV13" s="202"/>
      <c r="BW13" s="202"/>
      <c r="BX13" s="202"/>
      <c r="BY13" s="202"/>
      <c r="BZ13" s="202"/>
      <c r="CA13" s="202"/>
      <c r="CB13" s="202"/>
      <c r="CC13" s="202"/>
      <c r="CD13" s="202"/>
      <c r="CE13" s="202"/>
      <c r="CF13" s="202"/>
      <c r="CG13" s="202"/>
      <c r="CH13" s="202"/>
      <c r="CI13" s="202"/>
      <c r="CJ13" s="202"/>
      <c r="CK13" s="202"/>
      <c r="CL13" s="202"/>
      <c r="CM13" s="202"/>
      <c r="CN13" s="202"/>
      <c r="CO13" s="202"/>
      <c r="CP13" s="202"/>
      <c r="CQ13" s="202"/>
      <c r="CR13" s="202"/>
      <c r="CS13" s="202"/>
      <c r="CT13" s="202"/>
      <c r="CU13" s="202"/>
      <c r="CV13" s="202"/>
      <c r="CW13" s="202"/>
      <c r="CX13" s="202"/>
      <c r="CY13" s="202"/>
      <c r="CZ13" s="202"/>
      <c r="DA13" s="202"/>
      <c r="DB13" s="202"/>
      <c r="DC13" s="202"/>
      <c r="DD13" s="202"/>
      <c r="DE13" s="202"/>
      <c r="DF13" s="202"/>
      <c r="DG13" s="202"/>
      <c r="DH13" s="202"/>
      <c r="DI13" s="202"/>
      <c r="DJ13" s="202"/>
      <c r="DK13" s="202"/>
      <c r="DL13" s="202"/>
      <c r="DM13" s="202"/>
      <c r="DN13" s="202"/>
      <c r="DO13" s="202"/>
      <c r="DP13" s="202"/>
      <c r="DQ13" s="202"/>
      <c r="DR13" s="202"/>
      <c r="DS13" s="202"/>
      <c r="DT13" s="202"/>
      <c r="DU13" s="203"/>
      <c r="DV13" s="201" t="s">
        <v>20</v>
      </c>
      <c r="DW13" s="202"/>
      <c r="DX13" s="202"/>
      <c r="DY13" s="202"/>
      <c r="DZ13" s="202"/>
      <c r="EA13" s="202"/>
      <c r="EB13" s="202"/>
      <c r="EC13" s="202"/>
      <c r="ED13" s="202"/>
      <c r="EE13" s="202"/>
      <c r="EF13" s="202"/>
      <c r="EG13" s="202"/>
      <c r="EH13" s="202"/>
      <c r="EI13" s="202"/>
      <c r="EJ13" s="202"/>
      <c r="EK13" s="202"/>
      <c r="EL13" s="202"/>
      <c r="EM13" s="202"/>
      <c r="EN13" s="202"/>
      <c r="EO13" s="202"/>
      <c r="EP13" s="202"/>
      <c r="EQ13" s="202"/>
      <c r="ER13" s="202"/>
      <c r="ES13" s="202"/>
      <c r="ET13" s="202"/>
      <c r="EU13" s="202"/>
      <c r="EV13" s="202"/>
      <c r="EW13" s="202"/>
      <c r="EX13" s="202"/>
      <c r="EY13" s="202"/>
      <c r="EZ13" s="202"/>
      <c r="FA13" s="202"/>
      <c r="FB13" s="202"/>
      <c r="FC13" s="202"/>
      <c r="FD13" s="202"/>
      <c r="FE13" s="202"/>
      <c r="FF13" s="202"/>
      <c r="FG13" s="202"/>
      <c r="FH13" s="202"/>
      <c r="FI13" s="202"/>
      <c r="FJ13" s="202"/>
      <c r="FK13" s="202"/>
      <c r="FL13" s="202"/>
      <c r="FM13" s="202"/>
      <c r="FN13" s="202"/>
      <c r="FO13" s="202"/>
      <c r="FP13" s="202"/>
      <c r="FQ13" s="202"/>
      <c r="FR13" s="202"/>
      <c r="FS13" s="202"/>
      <c r="FT13" s="202"/>
      <c r="FU13" s="202"/>
      <c r="FV13" s="202"/>
      <c r="FW13" s="202"/>
      <c r="FX13" s="202"/>
      <c r="FY13" s="202"/>
      <c r="FZ13" s="202"/>
      <c r="GA13" s="202"/>
      <c r="GB13" s="202"/>
      <c r="GC13" s="203"/>
      <c r="GD13" s="201" t="s">
        <v>52</v>
      </c>
      <c r="GE13" s="202"/>
      <c r="GF13" s="202"/>
      <c r="GG13" s="202"/>
      <c r="GH13" s="202"/>
      <c r="GI13" s="202"/>
      <c r="GJ13" s="202"/>
      <c r="GK13" s="202"/>
      <c r="GL13" s="202"/>
      <c r="GM13" s="202"/>
      <c r="GN13" s="202"/>
      <c r="GO13" s="202"/>
      <c r="GP13" s="202"/>
      <c r="GQ13" s="202"/>
      <c r="GR13" s="202"/>
      <c r="GS13" s="202"/>
      <c r="GT13" s="202"/>
      <c r="GU13" s="202"/>
      <c r="GV13" s="202"/>
      <c r="GW13" s="202"/>
      <c r="GX13" s="202"/>
      <c r="GY13" s="202"/>
      <c r="GZ13" s="202"/>
      <c r="HA13" s="202"/>
      <c r="HB13" s="202"/>
      <c r="HC13" s="202"/>
      <c r="HD13" s="202"/>
      <c r="HE13" s="202"/>
      <c r="HF13" s="202"/>
      <c r="HG13" s="202"/>
      <c r="HH13" s="202"/>
      <c r="HI13" s="202"/>
      <c r="HJ13" s="202"/>
      <c r="HK13" s="202"/>
      <c r="HL13" s="202"/>
      <c r="HM13" s="202"/>
      <c r="HN13" s="202"/>
      <c r="HO13" s="202"/>
      <c r="HP13" s="202"/>
      <c r="HQ13" s="202"/>
      <c r="HR13" s="202"/>
      <c r="HS13" s="202"/>
      <c r="HT13" s="202"/>
      <c r="HU13" s="202"/>
      <c r="HV13" s="202"/>
      <c r="HW13" s="202"/>
      <c r="HX13" s="202"/>
      <c r="HY13" s="202"/>
      <c r="HZ13" s="202"/>
      <c r="IA13" s="202"/>
      <c r="IB13" s="202"/>
      <c r="IC13" s="202"/>
      <c r="ID13" s="202"/>
      <c r="IE13" s="202"/>
      <c r="IF13" s="202"/>
      <c r="IG13" s="202"/>
      <c r="IH13" s="202"/>
      <c r="II13" s="202"/>
      <c r="IJ13" s="202"/>
      <c r="IK13" s="203"/>
      <c r="IL13" s="201" t="s">
        <v>76</v>
      </c>
      <c r="IM13" s="202"/>
      <c r="IN13" s="202"/>
      <c r="IO13" s="202"/>
      <c r="IP13" s="202"/>
      <c r="IQ13" s="202"/>
      <c r="IR13" s="202"/>
      <c r="IS13" s="202"/>
      <c r="IT13" s="202"/>
      <c r="IU13" s="202"/>
      <c r="IV13" s="202"/>
      <c r="IW13" s="202"/>
      <c r="IX13" s="202"/>
      <c r="IY13" s="202"/>
      <c r="IZ13" s="202"/>
      <c r="JA13" s="202"/>
      <c r="JB13" s="202"/>
      <c r="JC13" s="202"/>
      <c r="JD13" s="202"/>
      <c r="JE13" s="202"/>
      <c r="JF13" s="202"/>
      <c r="JG13" s="202"/>
      <c r="JH13" s="202"/>
      <c r="JI13" s="202"/>
      <c r="JJ13" s="202"/>
      <c r="JK13" s="202"/>
      <c r="JL13" s="202"/>
      <c r="JM13" s="202"/>
      <c r="JN13" s="202"/>
      <c r="JO13" s="202"/>
      <c r="JP13" s="202"/>
      <c r="JQ13" s="202"/>
      <c r="JR13" s="202"/>
      <c r="JS13" s="202"/>
      <c r="JT13" s="202"/>
      <c r="JU13" s="202"/>
      <c r="JV13" s="202"/>
      <c r="JW13" s="202"/>
      <c r="JX13" s="202"/>
      <c r="JY13" s="202"/>
      <c r="JZ13" s="202"/>
      <c r="KA13" s="202"/>
      <c r="KB13" s="202"/>
      <c r="KC13" s="202"/>
      <c r="KD13" s="202"/>
      <c r="KE13" s="202"/>
      <c r="KF13" s="202"/>
      <c r="KG13" s="202"/>
      <c r="KH13" s="202"/>
      <c r="KI13" s="202"/>
      <c r="KJ13" s="202"/>
      <c r="KK13" s="202"/>
      <c r="KL13" s="202"/>
      <c r="KM13" s="202"/>
      <c r="KN13" s="202"/>
      <c r="KO13" s="202"/>
      <c r="KP13" s="202"/>
      <c r="KQ13" s="202"/>
      <c r="KR13" s="202"/>
      <c r="KS13" s="203"/>
      <c r="KT13" s="201" t="s">
        <v>88</v>
      </c>
      <c r="KU13" s="202"/>
      <c r="KV13" s="202"/>
      <c r="KW13" s="202"/>
      <c r="KX13" s="202"/>
      <c r="KY13" s="202"/>
      <c r="KZ13" s="202"/>
      <c r="LA13" s="202"/>
      <c r="LB13" s="202"/>
      <c r="LC13" s="202"/>
      <c r="LD13" s="202"/>
      <c r="LE13" s="202"/>
      <c r="LF13" s="202"/>
      <c r="LG13" s="202"/>
      <c r="LH13" s="202"/>
      <c r="LI13" s="202"/>
      <c r="LJ13" s="202"/>
      <c r="LK13" s="202"/>
      <c r="LL13" s="202"/>
      <c r="LM13" s="202"/>
      <c r="LN13" s="202"/>
      <c r="LO13" s="202"/>
      <c r="LP13" s="202"/>
      <c r="LQ13" s="202"/>
      <c r="LR13" s="202"/>
      <c r="LS13" s="202"/>
      <c r="LT13" s="202"/>
      <c r="LU13" s="202"/>
      <c r="LV13" s="202"/>
      <c r="LW13" s="202"/>
      <c r="LX13" s="202"/>
      <c r="LY13" s="202"/>
      <c r="LZ13" s="202"/>
      <c r="MA13" s="202"/>
      <c r="MB13" s="202"/>
      <c r="MC13" s="202"/>
      <c r="MD13" s="202"/>
      <c r="ME13" s="202"/>
      <c r="MF13" s="202"/>
      <c r="MG13" s="202"/>
      <c r="MH13" s="202"/>
      <c r="MI13" s="202"/>
      <c r="MJ13" s="202"/>
      <c r="MK13" s="202"/>
      <c r="ML13" s="202"/>
      <c r="MM13" s="202"/>
      <c r="MN13" s="202"/>
      <c r="MO13" s="202"/>
      <c r="MP13" s="202"/>
      <c r="MQ13" s="202"/>
      <c r="MR13" s="202"/>
      <c r="MS13" s="202"/>
      <c r="MT13" s="202"/>
      <c r="MU13" s="202"/>
      <c r="MV13" s="202"/>
      <c r="MW13" s="202"/>
      <c r="MX13" s="202"/>
      <c r="MY13" s="202"/>
      <c r="MZ13" s="202"/>
      <c r="NA13" s="203"/>
      <c r="NB13" s="201" t="s">
        <v>89</v>
      </c>
      <c r="NC13" s="202"/>
      <c r="ND13" s="202"/>
      <c r="NE13" s="202"/>
      <c r="NF13" s="202"/>
      <c r="NG13" s="202"/>
      <c r="NH13" s="202"/>
      <c r="NI13" s="202"/>
      <c r="NJ13" s="202"/>
      <c r="NK13" s="202"/>
      <c r="NL13" s="202"/>
      <c r="NM13" s="202"/>
      <c r="NN13" s="202"/>
      <c r="NO13" s="202"/>
      <c r="NP13" s="202"/>
      <c r="NQ13" s="202"/>
      <c r="NR13" s="202"/>
      <c r="NS13" s="202"/>
      <c r="NT13" s="202"/>
      <c r="NU13" s="202"/>
      <c r="NV13" s="202"/>
      <c r="NW13" s="202"/>
      <c r="NX13" s="202"/>
      <c r="NY13" s="202"/>
      <c r="NZ13" s="202"/>
      <c r="OA13" s="202"/>
      <c r="OB13" s="202"/>
      <c r="OC13" s="202"/>
      <c r="OD13" s="202"/>
      <c r="OE13" s="202"/>
      <c r="OF13" s="202"/>
      <c r="OG13" s="202"/>
      <c r="OH13" s="202"/>
      <c r="OI13" s="202"/>
      <c r="OJ13" s="202"/>
      <c r="OK13" s="202"/>
      <c r="OL13" s="202"/>
      <c r="OM13" s="202"/>
      <c r="ON13" s="202"/>
      <c r="OO13" s="202"/>
      <c r="OP13" s="202"/>
      <c r="OQ13" s="202"/>
      <c r="OR13" s="202"/>
      <c r="OS13" s="202"/>
      <c r="OT13" s="202"/>
      <c r="OU13" s="202"/>
      <c r="OV13" s="202"/>
      <c r="OW13" s="202"/>
      <c r="OX13" s="202"/>
      <c r="OY13" s="202"/>
      <c r="OZ13" s="202"/>
      <c r="PA13" s="202"/>
      <c r="PB13" s="202"/>
      <c r="PC13" s="202"/>
      <c r="PD13" s="202"/>
      <c r="PE13" s="202"/>
      <c r="PF13" s="202"/>
      <c r="PG13" s="202"/>
      <c r="PH13" s="202"/>
      <c r="PI13" s="203"/>
      <c r="PJ13" s="90"/>
    </row>
    <row r="14" spans="1:426" ht="12.75" customHeight="1" thickBot="1" x14ac:dyDescent="0.35">
      <c r="B14" s="96"/>
      <c r="C14" s="194"/>
      <c r="D14" s="145"/>
      <c r="E14" s="196"/>
      <c r="F14" s="103"/>
      <c r="G14" s="104"/>
      <c r="H14" s="104"/>
      <c r="I14" s="104"/>
      <c r="J14" s="204" t="s">
        <v>37</v>
      </c>
      <c r="K14" s="204"/>
      <c r="L14" s="204"/>
      <c r="M14" s="204"/>
      <c r="N14" s="104"/>
      <c r="O14" s="104"/>
      <c r="P14" s="205" t="s">
        <v>25</v>
      </c>
      <c r="Q14" s="205"/>
      <c r="R14" s="205"/>
      <c r="S14" s="205"/>
      <c r="T14" s="129"/>
      <c r="U14" s="129"/>
      <c r="V14" s="204" t="s">
        <v>38</v>
      </c>
      <c r="W14" s="204"/>
      <c r="X14" s="204"/>
      <c r="Y14" s="204"/>
      <c r="Z14" s="104"/>
      <c r="AA14" s="104"/>
      <c r="AB14" s="205" t="s">
        <v>26</v>
      </c>
      <c r="AC14" s="205"/>
      <c r="AD14" s="205"/>
      <c r="AE14" s="205"/>
      <c r="AF14" s="129"/>
      <c r="AG14" s="129"/>
      <c r="AH14" s="204" t="s">
        <v>39</v>
      </c>
      <c r="AI14" s="204"/>
      <c r="AJ14" s="204"/>
      <c r="AK14" s="204"/>
      <c r="AL14" s="104"/>
      <c r="AM14" s="104"/>
      <c r="AN14" s="205" t="s">
        <v>27</v>
      </c>
      <c r="AO14" s="205"/>
      <c r="AP14" s="205"/>
      <c r="AQ14" s="205"/>
      <c r="AR14" s="129"/>
      <c r="AS14" s="129"/>
      <c r="AT14" s="204" t="s">
        <v>40</v>
      </c>
      <c r="AU14" s="204"/>
      <c r="AV14" s="204"/>
      <c r="AW14" s="204"/>
      <c r="AX14" s="104"/>
      <c r="AY14" s="104"/>
      <c r="AZ14" s="205" t="s">
        <v>28</v>
      </c>
      <c r="BA14" s="205"/>
      <c r="BB14" s="205"/>
      <c r="BC14" s="205"/>
      <c r="BD14" s="129"/>
      <c r="BE14" s="129"/>
      <c r="BF14" s="204" t="s">
        <v>41</v>
      </c>
      <c r="BG14" s="204"/>
      <c r="BH14" s="204"/>
      <c r="BI14" s="204"/>
      <c r="BJ14" s="104"/>
      <c r="BK14" s="104"/>
      <c r="BL14" s="104"/>
      <c r="BM14" s="105"/>
      <c r="BN14" s="103"/>
      <c r="BO14" s="104"/>
      <c r="BP14" s="104"/>
      <c r="BQ14" s="104"/>
      <c r="BR14" s="204" t="s">
        <v>37</v>
      </c>
      <c r="BS14" s="204"/>
      <c r="BT14" s="204"/>
      <c r="BU14" s="204"/>
      <c r="BV14" s="104"/>
      <c r="BW14" s="104"/>
      <c r="BX14" s="205" t="s">
        <v>25</v>
      </c>
      <c r="BY14" s="205"/>
      <c r="BZ14" s="205"/>
      <c r="CA14" s="205"/>
      <c r="CB14" s="129"/>
      <c r="CC14" s="129"/>
      <c r="CD14" s="204" t="s">
        <v>38</v>
      </c>
      <c r="CE14" s="204"/>
      <c r="CF14" s="204"/>
      <c r="CG14" s="204"/>
      <c r="CH14" s="104"/>
      <c r="CI14" s="104"/>
      <c r="CJ14" s="205" t="s">
        <v>26</v>
      </c>
      <c r="CK14" s="205"/>
      <c r="CL14" s="205"/>
      <c r="CM14" s="205"/>
      <c r="CN14" s="129"/>
      <c r="CO14" s="129"/>
      <c r="CP14" s="204" t="s">
        <v>39</v>
      </c>
      <c r="CQ14" s="204"/>
      <c r="CR14" s="204"/>
      <c r="CS14" s="204"/>
      <c r="CT14" s="104"/>
      <c r="CU14" s="104"/>
      <c r="CV14" s="205" t="s">
        <v>27</v>
      </c>
      <c r="CW14" s="205"/>
      <c r="CX14" s="205"/>
      <c r="CY14" s="205"/>
      <c r="CZ14" s="129"/>
      <c r="DA14" s="129"/>
      <c r="DB14" s="204" t="s">
        <v>40</v>
      </c>
      <c r="DC14" s="204"/>
      <c r="DD14" s="204"/>
      <c r="DE14" s="204"/>
      <c r="DF14" s="104"/>
      <c r="DG14" s="104"/>
      <c r="DH14" s="205" t="s">
        <v>28</v>
      </c>
      <c r="DI14" s="205"/>
      <c r="DJ14" s="205"/>
      <c r="DK14" s="205"/>
      <c r="DL14" s="129"/>
      <c r="DM14" s="129"/>
      <c r="DN14" s="204" t="s">
        <v>41</v>
      </c>
      <c r="DO14" s="204"/>
      <c r="DP14" s="204"/>
      <c r="DQ14" s="204"/>
      <c r="DR14" s="104"/>
      <c r="DS14" s="104"/>
      <c r="DT14" s="104"/>
      <c r="DU14" s="105"/>
      <c r="DV14" s="103"/>
      <c r="DW14" s="104"/>
      <c r="DX14" s="104"/>
      <c r="DY14" s="104"/>
      <c r="DZ14" s="204" t="s">
        <v>37</v>
      </c>
      <c r="EA14" s="204"/>
      <c r="EB14" s="204"/>
      <c r="EC14" s="204"/>
      <c r="ED14" s="104"/>
      <c r="EE14" s="104"/>
      <c r="EF14" s="205" t="s">
        <v>25</v>
      </c>
      <c r="EG14" s="205"/>
      <c r="EH14" s="205"/>
      <c r="EI14" s="205"/>
      <c r="EJ14" s="129"/>
      <c r="EK14" s="129"/>
      <c r="EL14" s="204" t="s">
        <v>38</v>
      </c>
      <c r="EM14" s="204"/>
      <c r="EN14" s="204"/>
      <c r="EO14" s="204"/>
      <c r="EP14" s="104"/>
      <c r="EQ14" s="104"/>
      <c r="ER14" s="205" t="s">
        <v>26</v>
      </c>
      <c r="ES14" s="205"/>
      <c r="ET14" s="205"/>
      <c r="EU14" s="205"/>
      <c r="EV14" s="129"/>
      <c r="EW14" s="129"/>
      <c r="EX14" s="204" t="s">
        <v>39</v>
      </c>
      <c r="EY14" s="204"/>
      <c r="EZ14" s="204"/>
      <c r="FA14" s="204"/>
      <c r="FB14" s="104"/>
      <c r="FC14" s="104"/>
      <c r="FD14" s="205" t="s">
        <v>27</v>
      </c>
      <c r="FE14" s="205"/>
      <c r="FF14" s="205"/>
      <c r="FG14" s="205"/>
      <c r="FH14" s="129"/>
      <c r="FI14" s="129"/>
      <c r="FJ14" s="204" t="s">
        <v>40</v>
      </c>
      <c r="FK14" s="204"/>
      <c r="FL14" s="204"/>
      <c r="FM14" s="204"/>
      <c r="FN14" s="104"/>
      <c r="FO14" s="104"/>
      <c r="FP14" s="205" t="s">
        <v>28</v>
      </c>
      <c r="FQ14" s="205"/>
      <c r="FR14" s="205"/>
      <c r="FS14" s="205"/>
      <c r="FT14" s="129"/>
      <c r="FU14" s="129"/>
      <c r="FV14" s="204" t="s">
        <v>41</v>
      </c>
      <c r="FW14" s="204"/>
      <c r="FX14" s="204"/>
      <c r="FY14" s="204"/>
      <c r="FZ14" s="104"/>
      <c r="GA14" s="104"/>
      <c r="GB14" s="104"/>
      <c r="GC14" s="105"/>
      <c r="GD14" s="103"/>
      <c r="GE14" s="104"/>
      <c r="GF14" s="104"/>
      <c r="GG14" s="104"/>
      <c r="GH14" s="204" t="s">
        <v>37</v>
      </c>
      <c r="GI14" s="204"/>
      <c r="GJ14" s="204"/>
      <c r="GK14" s="204"/>
      <c r="GL14" s="104"/>
      <c r="GM14" s="104"/>
      <c r="GN14" s="205" t="s">
        <v>25</v>
      </c>
      <c r="GO14" s="205"/>
      <c r="GP14" s="205"/>
      <c r="GQ14" s="205"/>
      <c r="GR14" s="129"/>
      <c r="GS14" s="129"/>
      <c r="GT14" s="204" t="s">
        <v>38</v>
      </c>
      <c r="GU14" s="204"/>
      <c r="GV14" s="204"/>
      <c r="GW14" s="204"/>
      <c r="GX14" s="104"/>
      <c r="GY14" s="104"/>
      <c r="GZ14" s="205" t="s">
        <v>26</v>
      </c>
      <c r="HA14" s="205"/>
      <c r="HB14" s="205"/>
      <c r="HC14" s="205"/>
      <c r="HD14" s="129"/>
      <c r="HE14" s="129"/>
      <c r="HF14" s="204" t="s">
        <v>39</v>
      </c>
      <c r="HG14" s="204"/>
      <c r="HH14" s="204"/>
      <c r="HI14" s="204"/>
      <c r="HJ14" s="104"/>
      <c r="HK14" s="104"/>
      <c r="HL14" s="205" t="s">
        <v>27</v>
      </c>
      <c r="HM14" s="205"/>
      <c r="HN14" s="205"/>
      <c r="HO14" s="205"/>
      <c r="HP14" s="129"/>
      <c r="HQ14" s="129"/>
      <c r="HR14" s="204" t="s">
        <v>40</v>
      </c>
      <c r="HS14" s="204"/>
      <c r="HT14" s="204"/>
      <c r="HU14" s="204"/>
      <c r="HV14" s="104"/>
      <c r="HW14" s="104"/>
      <c r="HX14" s="205" t="s">
        <v>28</v>
      </c>
      <c r="HY14" s="205"/>
      <c r="HZ14" s="205"/>
      <c r="IA14" s="205"/>
      <c r="IB14" s="129"/>
      <c r="IC14" s="129"/>
      <c r="ID14" s="204" t="s">
        <v>41</v>
      </c>
      <c r="IE14" s="204"/>
      <c r="IF14" s="204"/>
      <c r="IG14" s="204"/>
      <c r="IH14" s="104"/>
      <c r="II14" s="104"/>
      <c r="IJ14" s="104"/>
      <c r="IK14" s="105"/>
      <c r="IL14" s="103"/>
      <c r="IM14" s="104"/>
      <c r="IN14" s="104"/>
      <c r="IO14" s="104"/>
      <c r="IP14" s="204" t="s">
        <v>37</v>
      </c>
      <c r="IQ14" s="204"/>
      <c r="IR14" s="204"/>
      <c r="IS14" s="204"/>
      <c r="IT14" s="104"/>
      <c r="IU14" s="104"/>
      <c r="IV14" s="205" t="s">
        <v>25</v>
      </c>
      <c r="IW14" s="205"/>
      <c r="IX14" s="205"/>
      <c r="IY14" s="205"/>
      <c r="IZ14" s="129"/>
      <c r="JA14" s="129"/>
      <c r="JB14" s="204" t="s">
        <v>38</v>
      </c>
      <c r="JC14" s="204"/>
      <c r="JD14" s="204"/>
      <c r="JE14" s="204"/>
      <c r="JF14" s="104"/>
      <c r="JG14" s="104"/>
      <c r="JH14" s="205" t="s">
        <v>26</v>
      </c>
      <c r="JI14" s="205"/>
      <c r="JJ14" s="205"/>
      <c r="JK14" s="205"/>
      <c r="JL14" s="129"/>
      <c r="JM14" s="129"/>
      <c r="JN14" s="204" t="s">
        <v>39</v>
      </c>
      <c r="JO14" s="204"/>
      <c r="JP14" s="204"/>
      <c r="JQ14" s="204"/>
      <c r="JR14" s="104"/>
      <c r="JS14" s="104"/>
      <c r="JT14" s="205" t="s">
        <v>27</v>
      </c>
      <c r="JU14" s="205"/>
      <c r="JV14" s="205"/>
      <c r="JW14" s="205"/>
      <c r="JX14" s="129"/>
      <c r="JY14" s="129"/>
      <c r="JZ14" s="204" t="s">
        <v>40</v>
      </c>
      <c r="KA14" s="204"/>
      <c r="KB14" s="204"/>
      <c r="KC14" s="204"/>
      <c r="KD14" s="104"/>
      <c r="KE14" s="104"/>
      <c r="KF14" s="205" t="s">
        <v>28</v>
      </c>
      <c r="KG14" s="205"/>
      <c r="KH14" s="205"/>
      <c r="KI14" s="205"/>
      <c r="KJ14" s="129"/>
      <c r="KK14" s="129"/>
      <c r="KL14" s="204" t="s">
        <v>41</v>
      </c>
      <c r="KM14" s="204"/>
      <c r="KN14" s="204"/>
      <c r="KO14" s="204"/>
      <c r="KP14" s="104"/>
      <c r="KQ14" s="104"/>
      <c r="KR14" s="104"/>
      <c r="KS14" s="105"/>
      <c r="KT14" s="103"/>
      <c r="KU14" s="104"/>
      <c r="KV14" s="104"/>
      <c r="KW14" s="104"/>
      <c r="KX14" s="204" t="s">
        <v>37</v>
      </c>
      <c r="KY14" s="204"/>
      <c r="KZ14" s="204"/>
      <c r="LA14" s="204"/>
      <c r="LB14" s="104"/>
      <c r="LC14" s="104"/>
      <c r="LD14" s="205" t="s">
        <v>25</v>
      </c>
      <c r="LE14" s="205"/>
      <c r="LF14" s="205"/>
      <c r="LG14" s="205"/>
      <c r="LH14" s="129"/>
      <c r="LI14" s="129"/>
      <c r="LJ14" s="204" t="s">
        <v>38</v>
      </c>
      <c r="LK14" s="204"/>
      <c r="LL14" s="204"/>
      <c r="LM14" s="204"/>
      <c r="LN14" s="104"/>
      <c r="LO14" s="104"/>
      <c r="LP14" s="205" t="s">
        <v>26</v>
      </c>
      <c r="LQ14" s="205"/>
      <c r="LR14" s="205"/>
      <c r="LS14" s="205"/>
      <c r="LT14" s="129"/>
      <c r="LU14" s="129"/>
      <c r="LV14" s="204" t="s">
        <v>39</v>
      </c>
      <c r="LW14" s="204"/>
      <c r="LX14" s="204"/>
      <c r="LY14" s="204"/>
      <c r="LZ14" s="104"/>
      <c r="MA14" s="104"/>
      <c r="MB14" s="205" t="s">
        <v>27</v>
      </c>
      <c r="MC14" s="205"/>
      <c r="MD14" s="205"/>
      <c r="ME14" s="205"/>
      <c r="MF14" s="129"/>
      <c r="MG14" s="129"/>
      <c r="MH14" s="204" t="s">
        <v>40</v>
      </c>
      <c r="MI14" s="204"/>
      <c r="MJ14" s="204"/>
      <c r="MK14" s="204"/>
      <c r="ML14" s="104"/>
      <c r="MM14" s="104"/>
      <c r="MN14" s="205" t="s">
        <v>28</v>
      </c>
      <c r="MO14" s="205"/>
      <c r="MP14" s="205"/>
      <c r="MQ14" s="205"/>
      <c r="MR14" s="129"/>
      <c r="MS14" s="129"/>
      <c r="MT14" s="204" t="s">
        <v>41</v>
      </c>
      <c r="MU14" s="204"/>
      <c r="MV14" s="204"/>
      <c r="MW14" s="204"/>
      <c r="MX14" s="104"/>
      <c r="MY14" s="104"/>
      <c r="MZ14" s="104"/>
      <c r="NA14" s="105"/>
      <c r="NB14" s="103"/>
      <c r="NC14" s="104"/>
      <c r="ND14" s="104"/>
      <c r="NE14" s="104"/>
      <c r="NF14" s="204" t="s">
        <v>37</v>
      </c>
      <c r="NG14" s="204"/>
      <c r="NH14" s="204"/>
      <c r="NI14" s="204"/>
      <c r="NJ14" s="104"/>
      <c r="NK14" s="104"/>
      <c r="NL14" s="205" t="s">
        <v>25</v>
      </c>
      <c r="NM14" s="205"/>
      <c r="NN14" s="205"/>
      <c r="NO14" s="205"/>
      <c r="NP14" s="129"/>
      <c r="NQ14" s="129"/>
      <c r="NR14" s="204" t="s">
        <v>38</v>
      </c>
      <c r="NS14" s="204"/>
      <c r="NT14" s="204"/>
      <c r="NU14" s="204"/>
      <c r="NV14" s="104"/>
      <c r="NW14" s="104"/>
      <c r="NX14" s="205" t="s">
        <v>26</v>
      </c>
      <c r="NY14" s="205"/>
      <c r="NZ14" s="205"/>
      <c r="OA14" s="205"/>
      <c r="OB14" s="129"/>
      <c r="OC14" s="129"/>
      <c r="OD14" s="204" t="s">
        <v>39</v>
      </c>
      <c r="OE14" s="204"/>
      <c r="OF14" s="204"/>
      <c r="OG14" s="204"/>
      <c r="OH14" s="104"/>
      <c r="OI14" s="104"/>
      <c r="OJ14" s="205" t="s">
        <v>27</v>
      </c>
      <c r="OK14" s="205"/>
      <c r="OL14" s="205"/>
      <c r="OM14" s="205"/>
      <c r="ON14" s="129"/>
      <c r="OO14" s="129"/>
      <c r="OP14" s="204" t="s">
        <v>40</v>
      </c>
      <c r="OQ14" s="204"/>
      <c r="OR14" s="204"/>
      <c r="OS14" s="204"/>
      <c r="OT14" s="104"/>
      <c r="OU14" s="104"/>
      <c r="OV14" s="205" t="s">
        <v>28</v>
      </c>
      <c r="OW14" s="205"/>
      <c r="OX14" s="205"/>
      <c r="OY14" s="205"/>
      <c r="OZ14" s="129"/>
      <c r="PA14" s="129"/>
      <c r="PB14" s="204" t="s">
        <v>41</v>
      </c>
      <c r="PC14" s="204"/>
      <c r="PD14" s="204"/>
      <c r="PE14" s="204"/>
      <c r="PF14" s="104"/>
      <c r="PG14" s="104"/>
      <c r="PH14" s="104"/>
      <c r="PI14" s="105"/>
      <c r="PJ14" s="90"/>
    </row>
    <row r="15" spans="1:426" ht="20.100000000000001" customHeight="1" x14ac:dyDescent="0.25">
      <c r="A15" s="100" t="s">
        <v>21</v>
      </c>
      <c r="B15" s="63" t="str">
        <f>IF(LEN(C15)=0,"",C15)</f>
        <v xml:space="preserve">Absences - imprévus </v>
      </c>
      <c r="C15" s="184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90"/>
    </row>
    <row r="16" spans="1:426" ht="20.100000000000001" customHeight="1" x14ac:dyDescent="0.25">
      <c r="A16" s="100" t="s">
        <v>22</v>
      </c>
      <c r="B16" s="63" t="str">
        <f>IF(LEN(C17)=0,"",C17)</f>
        <v>Analyse - Planification initiale</v>
      </c>
      <c r="C16" s="185"/>
      <c r="D16" s="147" t="str">
        <f t="shared" ref="D16:D79" si="0">setValueToTime(E16)</f>
        <v>5h35min</v>
      </c>
      <c r="E16" s="35">
        <v>67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171"/>
      <c r="GN16" s="171"/>
      <c r="GO16" s="174"/>
      <c r="GP16" s="171"/>
      <c r="GQ16" s="171"/>
      <c r="GR16" s="171"/>
      <c r="GS16" s="171"/>
      <c r="GT16" s="171"/>
      <c r="GU16" s="175"/>
      <c r="GV16" s="171"/>
      <c r="GW16" s="171"/>
      <c r="GX16" s="171"/>
      <c r="GY16" s="171"/>
      <c r="GZ16" s="171"/>
      <c r="HA16" s="174"/>
      <c r="HB16" s="171"/>
      <c r="HC16" s="171"/>
      <c r="HD16" s="171"/>
      <c r="HE16" s="171"/>
      <c r="HF16" s="171"/>
      <c r="HG16" s="175"/>
      <c r="HH16" s="170"/>
      <c r="HI16" s="170"/>
      <c r="HJ16" s="170"/>
      <c r="HK16" s="170"/>
      <c r="HL16" s="171"/>
      <c r="HM16" s="174"/>
      <c r="HN16" s="171"/>
      <c r="HO16" s="171"/>
      <c r="HP16" s="171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171"/>
      <c r="LM16" s="171"/>
      <c r="LN16" s="171"/>
      <c r="LO16" s="171"/>
      <c r="LP16" s="171"/>
      <c r="LQ16" s="174"/>
      <c r="LR16" s="171"/>
      <c r="LS16" s="171"/>
      <c r="LT16" s="171"/>
      <c r="LU16" s="171"/>
      <c r="LV16" s="171"/>
      <c r="LW16" s="175"/>
      <c r="LX16" s="170"/>
      <c r="LY16" s="170"/>
      <c r="LZ16" s="170"/>
      <c r="MA16" s="170"/>
      <c r="MB16" s="171"/>
      <c r="MC16" s="174"/>
      <c r="MD16" s="171"/>
      <c r="ME16" s="171"/>
      <c r="MF16" s="171"/>
      <c r="MG16" s="171"/>
      <c r="MH16" s="171"/>
      <c r="MI16" s="175"/>
      <c r="MJ16" s="171"/>
      <c r="MK16" s="171"/>
      <c r="ML16" s="171"/>
      <c r="MM16" s="171"/>
      <c r="MN16" s="171"/>
      <c r="MO16" s="174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171"/>
      <c r="OP16" s="171"/>
      <c r="OQ16" s="175"/>
      <c r="OR16" s="171"/>
      <c r="OS16" s="171"/>
      <c r="OT16" s="171"/>
      <c r="OU16" s="171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90"/>
    </row>
    <row r="17" spans="1:426" ht="20.100000000000001" customHeight="1" x14ac:dyDescent="0.25">
      <c r="A17" s="100" t="s">
        <v>21</v>
      </c>
      <c r="B17" s="63" t="str">
        <f>IF(LEN(C19)=0,"",C19)</f>
        <v>Réalisation - Interfaces</v>
      </c>
      <c r="C17" s="184" t="s">
        <v>33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90"/>
    </row>
    <row r="18" spans="1:426" ht="20.100000000000001" customHeight="1" x14ac:dyDescent="0.3">
      <c r="A18" s="100" t="s">
        <v>22</v>
      </c>
      <c r="B18" s="63" t="str">
        <f>IF(LEN(C21)=0,"",C21)</f>
        <v>Doc - Journal de travail</v>
      </c>
      <c r="C18" s="185"/>
      <c r="D18" s="148" t="str">
        <f t="shared" si="0"/>
        <v>3h35min</v>
      </c>
      <c r="E18" s="35">
        <v>43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173"/>
      <c r="W18" s="177"/>
      <c r="X18" s="173"/>
      <c r="Y18" s="173"/>
      <c r="Z18" s="173"/>
      <c r="AA18" s="173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173"/>
      <c r="AO18" s="176"/>
      <c r="AP18" s="173"/>
      <c r="AQ18" s="173"/>
      <c r="AR18" s="173"/>
      <c r="AS18" s="173"/>
      <c r="AT18" s="173"/>
      <c r="AU18" s="177"/>
      <c r="AV18" s="173"/>
      <c r="AW18" s="173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177"/>
      <c r="CR18" s="178"/>
      <c r="CS18" s="178"/>
      <c r="CT18" s="178"/>
      <c r="CU18" s="178"/>
      <c r="CV18" s="173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173"/>
      <c r="EO18" s="173"/>
      <c r="EP18" s="173"/>
      <c r="EQ18" s="173"/>
      <c r="ER18" s="173"/>
      <c r="ES18" s="176"/>
      <c r="ET18" s="173"/>
      <c r="EU18" s="173"/>
      <c r="EV18" s="173"/>
      <c r="EW18" s="173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173"/>
      <c r="GL18" s="173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173"/>
      <c r="JI18" s="176"/>
      <c r="JJ18" s="173"/>
      <c r="JK18" s="173"/>
      <c r="JL18" s="173"/>
      <c r="JM18" s="173"/>
      <c r="JN18" s="173"/>
      <c r="JO18" s="177"/>
      <c r="JP18" s="178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90"/>
    </row>
    <row r="19" spans="1:426" ht="20.100000000000001" customHeight="1" x14ac:dyDescent="0.25">
      <c r="A19" s="100" t="s">
        <v>21</v>
      </c>
      <c r="B19" s="63" t="str">
        <f>IF(LEN(C23)=0,"",C23)</f>
        <v>Doc - Rapport</v>
      </c>
      <c r="C19" s="184" t="s">
        <v>34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90"/>
    </row>
    <row r="20" spans="1:426" ht="20.100000000000001" customHeight="1" x14ac:dyDescent="0.25">
      <c r="A20" s="100" t="s">
        <v>22</v>
      </c>
      <c r="B20" s="63" t="str">
        <f>IF(LEN(C25)=0,"",C25)</f>
        <v>Aide mémoire</v>
      </c>
      <c r="C20" s="186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90"/>
    </row>
    <row r="21" spans="1:426" ht="20.100000000000001" customHeight="1" x14ac:dyDescent="0.25">
      <c r="A21" s="100" t="s">
        <v>21</v>
      </c>
      <c r="B21" s="63" t="str">
        <f>IF(LEN(C27)=0,"",C27)</f>
        <v>Codage</v>
      </c>
      <c r="C21" s="184" t="s">
        <v>18</v>
      </c>
      <c r="D21" s="146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90"/>
    </row>
    <row r="22" spans="1:426" ht="20.100000000000001" customHeight="1" x14ac:dyDescent="0.25">
      <c r="A22" s="100" t="s">
        <v>22</v>
      </c>
      <c r="B22" s="63" t="str">
        <f>IF(LEN(C29)=0,"",C29)</f>
        <v/>
      </c>
      <c r="C22" s="186"/>
      <c r="D22" s="147" t="str">
        <f t="shared" si="0"/>
        <v>1h</v>
      </c>
      <c r="E22" s="35">
        <v>12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173"/>
      <c r="AC22" s="176"/>
      <c r="AD22" s="173"/>
      <c r="AE22" s="173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173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173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173"/>
      <c r="JE22" s="173"/>
      <c r="JF22" s="173"/>
      <c r="JG22" s="173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228"/>
      <c r="NC22" s="178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90"/>
    </row>
    <row r="23" spans="1:426" ht="20.100000000000001" customHeight="1" x14ac:dyDescent="0.25">
      <c r="A23" s="100" t="s">
        <v>21</v>
      </c>
      <c r="B23" s="63" t="str">
        <f>IF(LEN(C31)=0,"",C31)</f>
        <v/>
      </c>
      <c r="C23" s="184" t="s">
        <v>17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90"/>
    </row>
    <row r="24" spans="1:426" ht="20.100000000000001" customHeight="1" x14ac:dyDescent="0.25">
      <c r="A24" s="100" t="s">
        <v>22</v>
      </c>
      <c r="B24" s="63" t="str">
        <f>IF(LEN(C33)=0,"",C33)</f>
        <v/>
      </c>
      <c r="C24" s="186"/>
      <c r="D24" s="147" t="str">
        <f t="shared" si="0"/>
        <v>4h50min</v>
      </c>
      <c r="E24" s="27">
        <v>58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170"/>
      <c r="JR24" s="170"/>
      <c r="JS24" s="170"/>
      <c r="JT24" s="171"/>
      <c r="JU24" s="174"/>
      <c r="JV24" s="171"/>
      <c r="JW24" s="171"/>
      <c r="JX24" s="171"/>
      <c r="JY24" s="171"/>
      <c r="JZ24" s="171"/>
      <c r="KA24" s="175"/>
      <c r="KB24" s="171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171"/>
      <c r="LD24" s="171"/>
      <c r="LE24" s="174"/>
      <c r="LF24" s="171"/>
      <c r="LG24" s="171"/>
      <c r="LH24" s="171"/>
      <c r="LI24" s="171"/>
      <c r="LJ24" s="171"/>
      <c r="LK24" s="175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170"/>
      <c r="NE24" s="170"/>
      <c r="NF24" s="171"/>
      <c r="NG24" s="172"/>
      <c r="NH24" s="171"/>
      <c r="NI24" s="171"/>
      <c r="NJ24" s="171"/>
      <c r="NK24" s="171"/>
      <c r="NL24" s="171"/>
      <c r="NM24" s="174"/>
      <c r="NN24" s="171"/>
      <c r="NO24" s="171"/>
      <c r="NP24" s="171"/>
      <c r="NQ24" s="171"/>
      <c r="NR24" s="171"/>
      <c r="NS24" s="175"/>
      <c r="NT24" s="171"/>
      <c r="NU24" s="171"/>
      <c r="NV24" s="171"/>
      <c r="NW24" s="171"/>
      <c r="NX24" s="171"/>
      <c r="NY24" s="174"/>
      <c r="NZ24" s="171"/>
      <c r="OA24" s="171"/>
      <c r="OB24" s="171"/>
      <c r="OC24" s="171"/>
      <c r="OD24" s="171"/>
      <c r="OE24" s="175"/>
      <c r="OF24" s="170"/>
      <c r="OG24" s="170"/>
      <c r="OH24" s="170"/>
      <c r="OI24" s="170"/>
      <c r="OJ24" s="171"/>
      <c r="OK24" s="174"/>
      <c r="OL24" s="171"/>
      <c r="OM24" s="171"/>
      <c r="ON24" s="171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90"/>
    </row>
    <row r="25" spans="1:426" ht="20.100000000000001" customHeight="1" x14ac:dyDescent="0.25">
      <c r="A25" s="100" t="s">
        <v>21</v>
      </c>
      <c r="B25" s="63" t="str">
        <f>IF(LEN(C35)=0,"",C35)</f>
        <v/>
      </c>
      <c r="C25" s="184" t="s">
        <v>47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90"/>
    </row>
    <row r="26" spans="1:426" ht="20.100000000000001" customHeight="1" x14ac:dyDescent="0.3">
      <c r="A26" s="100" t="s">
        <v>22</v>
      </c>
      <c r="B26" s="63" t="str">
        <f>IF(LEN(C37)=0,"",C37)</f>
        <v/>
      </c>
      <c r="C26" s="185"/>
      <c r="D26" s="148" t="str">
        <f t="shared" si="0"/>
        <v>1h20min</v>
      </c>
      <c r="E26" s="35">
        <v>16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173"/>
      <c r="AG26" s="173"/>
      <c r="AH26" s="173"/>
      <c r="AI26" s="177"/>
      <c r="AJ26" s="178"/>
      <c r="AK26" s="178"/>
      <c r="AL26" s="178"/>
      <c r="AM26" s="178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76"/>
      <c r="CX26" s="173"/>
      <c r="CY26" s="173"/>
      <c r="CZ26" s="173"/>
      <c r="DA26" s="173"/>
      <c r="DB26" s="173"/>
      <c r="DC26" s="177"/>
      <c r="DD26" s="173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90"/>
    </row>
    <row r="27" spans="1:426" ht="20.100000000000001" customHeight="1" x14ac:dyDescent="0.25">
      <c r="A27" s="100" t="s">
        <v>21</v>
      </c>
      <c r="B27" s="63" t="str">
        <f>IF(LEN(C39)=0,"",C39)</f>
        <v/>
      </c>
      <c r="C27" s="184" t="s">
        <v>48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90"/>
    </row>
    <row r="28" spans="1:426" ht="20.100000000000001" customHeight="1" x14ac:dyDescent="0.3">
      <c r="A28" s="100" t="s">
        <v>22</v>
      </c>
      <c r="B28" s="63" t="str">
        <f>IF(LEN(C41)=0,"",C41)</f>
        <v/>
      </c>
      <c r="C28" s="185"/>
      <c r="D28" s="148" t="str">
        <f t="shared" si="0"/>
        <v>9h15min</v>
      </c>
      <c r="E28" s="27">
        <v>111</v>
      </c>
      <c r="F28" s="169"/>
      <c r="G28" s="170"/>
      <c r="H28" s="170"/>
      <c r="I28" s="170"/>
      <c r="J28" s="171"/>
      <c r="K28" s="172"/>
      <c r="L28" s="171"/>
      <c r="M28" s="171"/>
      <c r="N28" s="171"/>
      <c r="O28" s="171"/>
      <c r="P28" s="171"/>
      <c r="Q28" s="174"/>
      <c r="R28" s="171"/>
      <c r="S28" s="171"/>
      <c r="T28" s="171"/>
      <c r="U28" s="171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169"/>
      <c r="BO28" s="170"/>
      <c r="BP28" s="170"/>
      <c r="BQ28" s="170"/>
      <c r="BR28" s="171"/>
      <c r="BS28" s="172"/>
      <c r="BT28" s="171"/>
      <c r="BU28" s="171"/>
      <c r="BV28" s="171"/>
      <c r="BW28" s="171"/>
      <c r="BX28" s="171"/>
      <c r="BY28" s="174"/>
      <c r="BZ28" s="171"/>
      <c r="CA28" s="171"/>
      <c r="CB28" s="171"/>
      <c r="CC28" s="171"/>
      <c r="CD28" s="171"/>
      <c r="CE28" s="175"/>
      <c r="CF28" s="171"/>
      <c r="CG28" s="171"/>
      <c r="CH28" s="171"/>
      <c r="CI28" s="171"/>
      <c r="CJ28" s="171"/>
      <c r="CK28" s="174"/>
      <c r="CL28" s="171"/>
      <c r="CM28" s="171"/>
      <c r="CN28" s="171"/>
      <c r="CO28" s="171"/>
      <c r="CP28" s="171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169"/>
      <c r="DW28" s="170"/>
      <c r="DX28" s="170"/>
      <c r="DY28" s="170"/>
      <c r="DZ28" s="171"/>
      <c r="EA28" s="172"/>
      <c r="EB28" s="171"/>
      <c r="EC28" s="171"/>
      <c r="ED28" s="171"/>
      <c r="EE28" s="171"/>
      <c r="EF28" s="171"/>
      <c r="EG28" s="174"/>
      <c r="EH28" s="171"/>
      <c r="EI28" s="171"/>
      <c r="EJ28" s="171"/>
      <c r="EK28" s="171"/>
      <c r="EL28" s="171"/>
      <c r="EM28" s="175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171"/>
      <c r="EY28" s="175"/>
      <c r="EZ28" s="170"/>
      <c r="FA28" s="170"/>
      <c r="FB28" s="170"/>
      <c r="FC28" s="170"/>
      <c r="FD28" s="171"/>
      <c r="FE28" s="174"/>
      <c r="FF28" s="171"/>
      <c r="FG28" s="171"/>
      <c r="FH28" s="171"/>
      <c r="FI28" s="171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169"/>
      <c r="GE28" s="170"/>
      <c r="GF28" s="170"/>
      <c r="GG28" s="170"/>
      <c r="GH28" s="171"/>
      <c r="GI28" s="172"/>
      <c r="GJ28" s="171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169"/>
      <c r="IM28" s="170"/>
      <c r="IN28" s="170"/>
      <c r="IO28" s="170"/>
      <c r="IP28" s="171"/>
      <c r="IQ28" s="172"/>
      <c r="IR28" s="171"/>
      <c r="IS28" s="171"/>
      <c r="IT28" s="171"/>
      <c r="IU28" s="171"/>
      <c r="IV28" s="171"/>
      <c r="IW28" s="174"/>
      <c r="IX28" s="171"/>
      <c r="IY28" s="171"/>
      <c r="IZ28" s="171"/>
      <c r="JA28" s="171"/>
      <c r="JB28" s="171"/>
      <c r="JC28" s="175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169"/>
      <c r="KU28" s="170"/>
      <c r="KV28" s="170"/>
      <c r="KW28" s="170"/>
      <c r="KX28" s="171"/>
      <c r="KY28" s="172"/>
      <c r="KZ28" s="171"/>
      <c r="LA28" s="171"/>
      <c r="LB28" s="171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171"/>
      <c r="OW28" s="174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90"/>
    </row>
    <row r="29" spans="1:426" ht="20.100000000000001" customHeight="1" x14ac:dyDescent="0.25">
      <c r="A29" s="100" t="s">
        <v>21</v>
      </c>
      <c r="B29" s="63" t="str">
        <f>IF(LEN(C43)=0,"",C43)</f>
        <v/>
      </c>
      <c r="C29" s="184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90"/>
    </row>
    <row r="30" spans="1:426" ht="20.100000000000001" customHeight="1" x14ac:dyDescent="0.3">
      <c r="A30" s="100" t="s">
        <v>22</v>
      </c>
      <c r="B30" s="63" t="str">
        <f>IF(LEN(C45)=0,"",C45)</f>
        <v/>
      </c>
      <c r="C30" s="185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90"/>
    </row>
    <row r="31" spans="1:426" ht="20.100000000000001" customHeight="1" x14ac:dyDescent="0.25">
      <c r="A31" s="100" t="s">
        <v>21</v>
      </c>
      <c r="B31" s="63" t="str">
        <f>IF(LEN(C47)=0,"",C47)</f>
        <v/>
      </c>
      <c r="C31" s="184"/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90"/>
    </row>
    <row r="32" spans="1:426" ht="20.100000000000001" customHeight="1" x14ac:dyDescent="0.3">
      <c r="A32" s="100" t="s">
        <v>22</v>
      </c>
      <c r="B32" s="63" t="str">
        <f>IF(LEN(C49)=0,"",C49)</f>
        <v/>
      </c>
      <c r="C32" s="185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90"/>
    </row>
    <row r="33" spans="1:426" ht="20.100000000000001" customHeight="1" x14ac:dyDescent="0.25">
      <c r="A33" s="100" t="s">
        <v>21</v>
      </c>
      <c r="B33" s="63" t="str">
        <f>IF(LEN(C51)=0,"",C51)</f>
        <v/>
      </c>
      <c r="C33" s="184"/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90"/>
    </row>
    <row r="34" spans="1:426" ht="20.100000000000001" customHeight="1" x14ac:dyDescent="0.3">
      <c r="A34" s="100" t="s">
        <v>22</v>
      </c>
      <c r="B34" s="63" t="str">
        <f>IF(LEN(C53)=0,"",C53)</f>
        <v/>
      </c>
      <c r="C34" s="185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90"/>
    </row>
    <row r="35" spans="1:426" ht="20.100000000000001" customHeight="1" x14ac:dyDescent="0.25">
      <c r="A35" s="100" t="s">
        <v>21</v>
      </c>
      <c r="B35" s="63" t="str">
        <f>IF(LEN(C55)=0,"",C55)</f>
        <v/>
      </c>
      <c r="C35" s="184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90"/>
    </row>
    <row r="36" spans="1:426" ht="20.100000000000001" customHeight="1" x14ac:dyDescent="0.25">
      <c r="A36" s="100" t="s">
        <v>22</v>
      </c>
      <c r="B36" s="63" t="str">
        <f>IF(LEN(C57)=0,"",C57)</f>
        <v/>
      </c>
      <c r="C36" s="186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90"/>
    </row>
    <row r="37" spans="1:426" ht="20.100000000000001" customHeight="1" x14ac:dyDescent="0.25">
      <c r="A37" s="100" t="s">
        <v>21</v>
      </c>
      <c r="B37" s="63" t="str">
        <f>IF(LEN(C59)=0,"",C59)</f>
        <v/>
      </c>
      <c r="C37" s="184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90"/>
    </row>
    <row r="38" spans="1:426" ht="20.100000000000001" customHeight="1" x14ac:dyDescent="0.3">
      <c r="A38" s="100" t="s">
        <v>22</v>
      </c>
      <c r="B38" s="63" t="str">
        <f>IF(LEN(C61)=0,"",C61)</f>
        <v/>
      </c>
      <c r="C38" s="185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90"/>
    </row>
    <row r="39" spans="1:426" ht="20.100000000000001" customHeight="1" x14ac:dyDescent="0.25">
      <c r="A39" s="100" t="s">
        <v>21</v>
      </c>
      <c r="B39" s="63" t="str">
        <f>IF(LEN(C63)=0,"",C63)</f>
        <v/>
      </c>
      <c r="C39" s="184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90"/>
    </row>
    <row r="40" spans="1:426" ht="20.100000000000001" customHeight="1" x14ac:dyDescent="0.25">
      <c r="A40" s="100" t="s">
        <v>22</v>
      </c>
      <c r="B40" s="63" t="str">
        <f>IF(LEN(C65)=0,"",C65)</f>
        <v/>
      </c>
      <c r="C40" s="186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90"/>
    </row>
    <row r="41" spans="1:426" ht="20.100000000000001" customHeight="1" x14ac:dyDescent="0.25">
      <c r="A41" s="100" t="s">
        <v>21</v>
      </c>
      <c r="B41" s="63" t="str">
        <f>IF(LEN(C67)=0,"",C67)</f>
        <v/>
      </c>
      <c r="C41" s="184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90"/>
    </row>
    <row r="42" spans="1:426" ht="20.100000000000001" customHeight="1" x14ac:dyDescent="0.3">
      <c r="A42" s="100" t="s">
        <v>22</v>
      </c>
      <c r="B42" s="63" t="str">
        <f>IF(LEN(C69)=0,"",C69)</f>
        <v/>
      </c>
      <c r="C42" s="185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90"/>
    </row>
    <row r="43" spans="1:426" ht="20.100000000000001" customHeight="1" x14ac:dyDescent="0.25">
      <c r="A43" s="100" t="s">
        <v>21</v>
      </c>
      <c r="B43" s="63" t="str">
        <f>IF(LEN(C71)=0,"",C71)</f>
        <v/>
      </c>
      <c r="C43" s="184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90"/>
    </row>
    <row r="44" spans="1:426" ht="20.100000000000001" customHeight="1" x14ac:dyDescent="0.3">
      <c r="A44" s="100" t="s">
        <v>22</v>
      </c>
      <c r="B44" s="63" t="str">
        <f>IF(LEN(C73)=0,"",C73)</f>
        <v/>
      </c>
      <c r="C44" s="185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90"/>
    </row>
    <row r="45" spans="1:426" ht="20.100000000000001" customHeight="1" x14ac:dyDescent="0.25">
      <c r="A45" s="100" t="s">
        <v>21</v>
      </c>
      <c r="B45" s="63" t="str">
        <f>IF(LEN(C75)=0,"",C75)</f>
        <v/>
      </c>
      <c r="C45" s="184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90"/>
    </row>
    <row r="46" spans="1:426" ht="20.100000000000001" customHeight="1" x14ac:dyDescent="0.25">
      <c r="A46" s="100" t="s">
        <v>22</v>
      </c>
      <c r="B46" s="63" t="str">
        <f>IF(LEN(C77)=0,"",C77)</f>
        <v/>
      </c>
      <c r="C46" s="186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90"/>
    </row>
    <row r="47" spans="1:426" ht="20.100000000000001" customHeight="1" x14ac:dyDescent="0.25">
      <c r="A47" s="100" t="s">
        <v>21</v>
      </c>
      <c r="B47" s="63" t="str">
        <f>IF(LEN(C79)=0,"",C79)</f>
        <v/>
      </c>
      <c r="C47" s="184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90"/>
    </row>
    <row r="48" spans="1:426" ht="20.100000000000001" customHeight="1" x14ac:dyDescent="0.3">
      <c r="A48" s="100" t="s">
        <v>22</v>
      </c>
      <c r="B48" s="63" t="str">
        <f>IF(LEN(C81)=0,"",C81)</f>
        <v/>
      </c>
      <c r="C48" s="185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90"/>
    </row>
    <row r="49" spans="1:426" ht="20.100000000000001" customHeight="1" x14ac:dyDescent="0.25">
      <c r="A49" s="100" t="s">
        <v>21</v>
      </c>
      <c r="B49" s="63" t="str">
        <f>IF(LEN(C83)=0,"",C83)</f>
        <v/>
      </c>
      <c r="C49" s="184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90"/>
    </row>
    <row r="50" spans="1:426" ht="20.100000000000001" customHeight="1" x14ac:dyDescent="0.3">
      <c r="A50" s="100" t="s">
        <v>22</v>
      </c>
      <c r="B50" s="63" t="str">
        <f>IF(LEN(C85)=0,"",C85)</f>
        <v/>
      </c>
      <c r="C50" s="185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90"/>
    </row>
    <row r="51" spans="1:426" ht="20.100000000000001" customHeight="1" x14ac:dyDescent="0.25">
      <c r="A51" s="100" t="s">
        <v>21</v>
      </c>
      <c r="B51" s="63" t="str">
        <f>IF(LEN(C87)=0,"",C87)</f>
        <v/>
      </c>
      <c r="C51" s="184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90"/>
    </row>
    <row r="52" spans="1:426" ht="20.100000000000001" customHeight="1" x14ac:dyDescent="0.25">
      <c r="A52" s="100" t="s">
        <v>22</v>
      </c>
      <c r="B52" s="63" t="str">
        <f>IF(LEN(C89)=0,"",C89)</f>
        <v/>
      </c>
      <c r="C52" s="186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90"/>
    </row>
    <row r="53" spans="1:426" ht="20.100000000000001" customHeight="1" x14ac:dyDescent="0.25">
      <c r="A53" s="100" t="s">
        <v>21</v>
      </c>
      <c r="B53" s="63" t="str">
        <f>IF(LEN(C91)=0,"",C91)</f>
        <v/>
      </c>
      <c r="C53" s="184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90"/>
    </row>
    <row r="54" spans="1:426" ht="20.100000000000001" customHeight="1" x14ac:dyDescent="0.3">
      <c r="A54" s="100" t="s">
        <v>22</v>
      </c>
      <c r="B54" s="63" t="str">
        <f>IF(LEN(C93)=0,"",C93)</f>
        <v/>
      </c>
      <c r="C54" s="18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90"/>
    </row>
    <row r="55" spans="1:426" ht="20.100000000000001" customHeight="1" x14ac:dyDescent="0.25">
      <c r="A55" s="100" t="s">
        <v>21</v>
      </c>
      <c r="B55" s="63"/>
      <c r="C55" s="184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90"/>
    </row>
    <row r="56" spans="1:426" ht="20.100000000000001" customHeight="1" x14ac:dyDescent="0.25">
      <c r="A56" s="100" t="s">
        <v>22</v>
      </c>
      <c r="B56" s="63"/>
      <c r="C56" s="18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90"/>
    </row>
    <row r="57" spans="1:426" ht="20.100000000000001" customHeight="1" x14ac:dyDescent="0.25">
      <c r="A57" s="100" t="s">
        <v>21</v>
      </c>
      <c r="B57" s="63"/>
      <c r="C57" s="184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90"/>
    </row>
    <row r="58" spans="1:426" ht="20.100000000000001" customHeight="1" x14ac:dyDescent="0.3">
      <c r="A58" s="100" t="s">
        <v>22</v>
      </c>
      <c r="B58" s="63"/>
      <c r="C58" s="185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90"/>
    </row>
    <row r="59" spans="1:426" ht="20.100000000000001" customHeight="1" x14ac:dyDescent="0.25">
      <c r="A59" s="100" t="s">
        <v>21</v>
      </c>
      <c r="B59" s="63"/>
      <c r="C59" s="184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90"/>
    </row>
    <row r="60" spans="1:426" ht="20.100000000000001" customHeight="1" x14ac:dyDescent="0.3">
      <c r="A60" s="100" t="s">
        <v>22</v>
      </c>
      <c r="B60" s="63"/>
      <c r="C60" s="185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90"/>
    </row>
    <row r="61" spans="1:426" ht="20.100000000000001" customHeight="1" x14ac:dyDescent="0.25">
      <c r="A61" s="100" t="s">
        <v>21</v>
      </c>
      <c r="B61" s="63"/>
      <c r="C61" s="184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90"/>
    </row>
    <row r="62" spans="1:426" ht="20.100000000000001" customHeight="1" x14ac:dyDescent="0.25">
      <c r="A62" s="100" t="s">
        <v>22</v>
      </c>
      <c r="B62" s="63"/>
      <c r="C62" s="18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90"/>
    </row>
    <row r="63" spans="1:426" ht="20.100000000000001" customHeight="1" x14ac:dyDescent="0.25">
      <c r="A63" s="100" t="s">
        <v>21</v>
      </c>
      <c r="B63" s="63"/>
      <c r="C63" s="184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90"/>
    </row>
    <row r="64" spans="1:426" ht="20.100000000000001" customHeight="1" x14ac:dyDescent="0.3">
      <c r="A64" s="100" t="s">
        <v>22</v>
      </c>
      <c r="B64" s="63"/>
      <c r="C64" s="185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90"/>
    </row>
    <row r="65" spans="1:426" ht="20.100000000000001" customHeight="1" x14ac:dyDescent="0.25">
      <c r="A65" s="100" t="s">
        <v>21</v>
      </c>
      <c r="B65" s="63"/>
      <c r="C65" s="184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90"/>
    </row>
    <row r="66" spans="1:426" ht="20.100000000000001" customHeight="1" x14ac:dyDescent="0.3">
      <c r="A66" s="100" t="s">
        <v>22</v>
      </c>
      <c r="B66" s="63"/>
      <c r="C66" s="18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90"/>
    </row>
    <row r="67" spans="1:426" ht="20.100000000000001" customHeight="1" x14ac:dyDescent="0.25">
      <c r="A67" s="100" t="s">
        <v>21</v>
      </c>
      <c r="B67" s="63"/>
      <c r="C67" s="184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90"/>
    </row>
    <row r="68" spans="1:426" ht="20.100000000000001" customHeight="1" x14ac:dyDescent="0.25">
      <c r="A68" s="100" t="s">
        <v>22</v>
      </c>
      <c r="B68" s="63"/>
      <c r="C68" s="18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90"/>
    </row>
    <row r="69" spans="1:426" ht="20.100000000000001" customHeight="1" x14ac:dyDescent="0.25">
      <c r="A69" s="100" t="s">
        <v>21</v>
      </c>
      <c r="B69" s="63"/>
      <c r="C69" s="184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90"/>
    </row>
    <row r="70" spans="1:426" ht="20.100000000000001" customHeight="1" x14ac:dyDescent="0.3">
      <c r="A70" s="100" t="s">
        <v>22</v>
      </c>
      <c r="B70" s="63"/>
      <c r="C70" s="185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90"/>
    </row>
    <row r="71" spans="1:426" ht="20.100000000000001" customHeight="1" x14ac:dyDescent="0.25">
      <c r="A71" s="100" t="s">
        <v>21</v>
      </c>
      <c r="B71" s="63"/>
      <c r="C71" s="184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90"/>
    </row>
    <row r="72" spans="1:426" ht="20.100000000000001" customHeight="1" x14ac:dyDescent="0.25">
      <c r="A72" s="100" t="s">
        <v>22</v>
      </c>
      <c r="B72" s="63"/>
      <c r="C72" s="186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90"/>
    </row>
    <row r="73" spans="1:426" ht="20.100000000000001" customHeight="1" x14ac:dyDescent="0.25">
      <c r="A73" s="100" t="s">
        <v>21</v>
      </c>
      <c r="B73" s="63"/>
      <c r="C73" s="184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90"/>
    </row>
    <row r="74" spans="1:426" ht="20.100000000000001" customHeight="1" x14ac:dyDescent="0.3">
      <c r="A74" s="100" t="s">
        <v>22</v>
      </c>
      <c r="B74" s="63"/>
      <c r="C74" s="185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90"/>
    </row>
    <row r="75" spans="1:426" ht="20.100000000000001" customHeight="1" x14ac:dyDescent="0.25">
      <c r="A75" s="100" t="s">
        <v>21</v>
      </c>
      <c r="B75" s="63"/>
      <c r="C75" s="184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90"/>
    </row>
    <row r="76" spans="1:426" ht="20.100000000000001" customHeight="1" x14ac:dyDescent="0.3">
      <c r="A76" s="100" t="s">
        <v>22</v>
      </c>
      <c r="B76" s="63"/>
      <c r="C76" s="18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90"/>
    </row>
    <row r="77" spans="1:426" ht="20.100000000000001" customHeight="1" x14ac:dyDescent="0.25">
      <c r="A77" s="100" t="s">
        <v>21</v>
      </c>
      <c r="B77" s="63"/>
      <c r="C77" s="18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90"/>
    </row>
    <row r="78" spans="1:426" ht="20.100000000000001" customHeight="1" x14ac:dyDescent="0.25">
      <c r="A78" s="100" t="s">
        <v>22</v>
      </c>
      <c r="B78" s="63"/>
      <c r="C78" s="186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90"/>
    </row>
    <row r="79" spans="1:426" ht="20.100000000000001" customHeight="1" x14ac:dyDescent="0.25">
      <c r="A79" s="100" t="s">
        <v>21</v>
      </c>
      <c r="B79" s="63"/>
      <c r="C79" s="18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90"/>
    </row>
    <row r="80" spans="1:426" ht="20.100000000000001" customHeight="1" x14ac:dyDescent="0.3">
      <c r="A80" s="100" t="s">
        <v>22</v>
      </c>
      <c r="B80" s="63"/>
      <c r="C80" s="18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90"/>
    </row>
    <row r="81" spans="1:426" ht="20.100000000000001" customHeight="1" x14ac:dyDescent="0.25">
      <c r="A81" s="100" t="s">
        <v>21</v>
      </c>
      <c r="B81" s="63"/>
      <c r="C81" s="18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90"/>
    </row>
    <row r="82" spans="1:426" ht="20.100000000000001" customHeight="1" x14ac:dyDescent="0.3">
      <c r="A82" s="100" t="s">
        <v>22</v>
      </c>
      <c r="B82" s="63"/>
      <c r="C82" s="18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90"/>
    </row>
    <row r="83" spans="1:426" ht="20.100000000000001" customHeight="1" x14ac:dyDescent="0.25">
      <c r="A83" s="100" t="s">
        <v>21</v>
      </c>
      <c r="B83" s="63"/>
      <c r="C83" s="18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90"/>
    </row>
    <row r="84" spans="1:426" ht="20.100000000000001" customHeight="1" x14ac:dyDescent="0.25">
      <c r="A84" s="100" t="s">
        <v>22</v>
      </c>
      <c r="B84" s="63"/>
      <c r="C84" s="186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90"/>
    </row>
    <row r="85" spans="1:426" ht="20.100000000000001" customHeight="1" x14ac:dyDescent="0.25">
      <c r="A85" s="100" t="s">
        <v>21</v>
      </c>
      <c r="B85" s="63"/>
      <c r="C85" s="18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90"/>
    </row>
    <row r="86" spans="1:426" ht="20.100000000000001" customHeight="1" x14ac:dyDescent="0.3">
      <c r="A86" s="100" t="s">
        <v>22</v>
      </c>
      <c r="B86" s="63"/>
      <c r="C86" s="18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90"/>
    </row>
    <row r="87" spans="1:426" ht="20.100000000000001" customHeight="1" x14ac:dyDescent="0.25">
      <c r="A87" s="100" t="s">
        <v>21</v>
      </c>
      <c r="B87" s="63"/>
      <c r="C87" s="184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90"/>
    </row>
    <row r="88" spans="1:426" ht="20.100000000000001" customHeight="1" x14ac:dyDescent="0.25">
      <c r="A88" s="100" t="s">
        <v>22</v>
      </c>
      <c r="B88" s="63"/>
      <c r="C88" s="186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90"/>
    </row>
    <row r="89" spans="1:426" ht="20.100000000000001" customHeight="1" x14ac:dyDescent="0.25">
      <c r="A89" s="100" t="s">
        <v>21</v>
      </c>
      <c r="B89" s="63"/>
      <c r="C89" s="184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90"/>
    </row>
    <row r="90" spans="1:426" ht="20.100000000000001" customHeight="1" x14ac:dyDescent="0.3">
      <c r="A90" s="100" t="s">
        <v>22</v>
      </c>
      <c r="B90" s="63"/>
      <c r="C90" s="18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90"/>
    </row>
    <row r="91" spans="1:426" ht="20.100000000000001" customHeight="1" x14ac:dyDescent="0.25">
      <c r="A91" s="100" t="s">
        <v>21</v>
      </c>
      <c r="B91" s="63"/>
      <c r="C91" s="184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90"/>
    </row>
    <row r="92" spans="1:426" ht="20.100000000000001" customHeight="1" x14ac:dyDescent="0.3">
      <c r="A92" s="100" t="s">
        <v>22</v>
      </c>
      <c r="B92" s="63"/>
      <c r="C92" s="18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90"/>
    </row>
    <row r="93" spans="1:426" ht="20.100000000000001" customHeight="1" x14ac:dyDescent="0.25">
      <c r="A93" s="100" t="s">
        <v>21</v>
      </c>
      <c r="B93" s="63"/>
      <c r="C93" s="184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90"/>
    </row>
    <row r="94" spans="1:426" ht="20.100000000000001" customHeight="1" x14ac:dyDescent="0.25">
      <c r="A94" s="100" t="s">
        <v>22</v>
      </c>
      <c r="B94" s="63"/>
      <c r="C94" s="186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90"/>
    </row>
    <row r="95" spans="1:426" ht="20.100000000000001" customHeight="1" x14ac:dyDescent="0.25">
      <c r="B95" s="96"/>
      <c r="C95" s="210" t="s">
        <v>9</v>
      </c>
      <c r="D95" s="211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90"/>
    </row>
    <row r="96" spans="1:426" ht="20.100000000000001" customHeight="1" thickBot="1" x14ac:dyDescent="0.3">
      <c r="B96" s="96"/>
      <c r="C96" s="212"/>
      <c r="D96" s="213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90"/>
    </row>
    <row r="97" spans="2:426" ht="20.100000000000001" customHeight="1" x14ac:dyDescent="0.25">
      <c r="B97" s="96"/>
      <c r="C97" s="206" t="s">
        <v>10</v>
      </c>
      <c r="D97" s="207"/>
      <c r="E97" s="118">
        <f>SUM(E16,E18,E20,E22,E24,E26,E28,E30,E32,E34,E36,E38,E40,E42,E44,E46,E48,E50,E52,E54,E56,E58,E60,E62,E64,E66,E68,E70,E72,E74,E76,E78,E80,E82,E84,E86,E88,E90,E92,E94)</f>
        <v>307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24"/>
    </row>
    <row r="98" spans="2:426" ht="20.100000000000001" customHeight="1" thickBot="1" x14ac:dyDescent="0.3">
      <c r="B98" s="96"/>
      <c r="C98" s="208"/>
      <c r="D98" s="209"/>
      <c r="E98" s="122" t="str">
        <f xml:space="preserve"> setValueToTime(E97)</f>
        <v>25h35min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90"/>
    </row>
    <row r="99" spans="2:4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91"/>
    </row>
  </sheetData>
  <sheetProtection insertRows="0" insertHyperlinks="0" selectLockedCells="1"/>
  <mergeCells count="141"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81:C82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3:BM13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85"/>
  <sheetViews>
    <sheetView showGridLines="0" zoomScaleNormal="100" zoomScaleSheetLayoutView="98" workbookViewId="0">
      <pane ySplit="1" topLeftCell="A2" activePane="bottomLeft" state="frozen"/>
      <selection pane="bottomLeft" activeCell="D10" sqref="D10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13</v>
      </c>
      <c r="B2" s="164">
        <v>7</v>
      </c>
      <c r="C2" s="164"/>
      <c r="D2" s="157" t="s">
        <v>16</v>
      </c>
      <c r="E2" s="230">
        <v>45300</v>
      </c>
      <c r="F2" s="229"/>
      <c r="G2" s="46"/>
    </row>
    <row r="3" spans="1:7" s="47" customFormat="1" ht="30" customHeight="1" thickBot="1" x14ac:dyDescent="0.3">
      <c r="A3" s="78" t="s">
        <v>5</v>
      </c>
      <c r="B3" s="161" t="s">
        <v>43</v>
      </c>
      <c r="C3" s="160"/>
      <c r="D3" s="78" t="s">
        <v>14</v>
      </c>
      <c r="E3" s="220" t="s">
        <v>15</v>
      </c>
      <c r="F3" s="221"/>
      <c r="G3" s="46"/>
    </row>
    <row r="4" spans="1:7" s="52" customFormat="1" ht="27" x14ac:dyDescent="0.3">
      <c r="A4" s="48" t="s">
        <v>18</v>
      </c>
      <c r="B4" s="49">
        <v>2</v>
      </c>
      <c r="C4" s="152"/>
      <c r="D4" s="167" t="s">
        <v>82</v>
      </c>
      <c r="E4" s="222"/>
      <c r="F4" s="223"/>
      <c r="G4" s="51"/>
    </row>
    <row r="5" spans="1:7" s="52" customFormat="1" x14ac:dyDescent="0.3">
      <c r="A5" s="53" t="s">
        <v>17</v>
      </c>
      <c r="B5" s="54">
        <v>37</v>
      </c>
      <c r="C5" s="153" t="str">
        <f t="shared" ref="C5:C11" si="0" xml:space="preserve"> IF(B5="","",setValueToTime(B5))</f>
        <v>3h5min</v>
      </c>
      <c r="D5" s="165" t="s">
        <v>81</v>
      </c>
      <c r="E5" s="214"/>
      <c r="F5" s="215"/>
      <c r="G5" s="51"/>
    </row>
    <row r="6" spans="1:7" s="52" customFormat="1" x14ac:dyDescent="0.3">
      <c r="A6" s="53" t="s">
        <v>4</v>
      </c>
      <c r="B6" s="54">
        <v>7</v>
      </c>
      <c r="C6" s="153" t="str">
        <f t="shared" si="0"/>
        <v>0h35min</v>
      </c>
      <c r="D6" s="165" t="s">
        <v>80</v>
      </c>
      <c r="E6" s="214"/>
      <c r="F6" s="215"/>
      <c r="G6" s="51"/>
    </row>
    <row r="7" spans="1:7" s="52" customFormat="1" x14ac:dyDescent="0.3">
      <c r="A7" s="53" t="s">
        <v>48</v>
      </c>
      <c r="B7" s="54">
        <v>2</v>
      </c>
      <c r="C7" s="153" t="str">
        <f t="shared" si="0"/>
        <v>0h10min</v>
      </c>
      <c r="D7" s="165" t="s">
        <v>79</v>
      </c>
      <c r="E7" s="214"/>
      <c r="F7" s="21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4"/>
      <c r="F8" s="21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4"/>
      <c r="F9" s="21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4"/>
      <c r="F10" s="21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6"/>
      <c r="F11" s="217"/>
      <c r="G11" s="51"/>
    </row>
    <row r="12" spans="1:7" s="52" customFormat="1" ht="15" thickBot="1" x14ac:dyDescent="0.35">
      <c r="A12" s="162" t="s">
        <v>30</v>
      </c>
      <c r="B12" s="83">
        <f>SUM(B4:B11)</f>
        <v>48</v>
      </c>
      <c r="C12" s="162" t="str">
        <f xml:space="preserve"> setValueToTime(B12)</f>
        <v>4h</v>
      </c>
      <c r="D12" s="121"/>
      <c r="E12" s="218"/>
      <c r="F12" s="219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13</v>
      </c>
      <c r="B14" s="164">
        <v>6</v>
      </c>
      <c r="C14" s="164"/>
      <c r="D14" s="157" t="s">
        <v>16</v>
      </c>
      <c r="E14" s="230">
        <v>45279</v>
      </c>
      <c r="F14" s="229"/>
      <c r="G14" s="46"/>
    </row>
    <row r="15" spans="1:7" s="47" customFormat="1" ht="30" customHeight="1" thickBot="1" x14ac:dyDescent="0.3">
      <c r="A15" s="78" t="s">
        <v>5</v>
      </c>
      <c r="B15" s="161" t="s">
        <v>43</v>
      </c>
      <c r="C15" s="160"/>
      <c r="D15" s="78" t="s">
        <v>14</v>
      </c>
      <c r="E15" s="220" t="s">
        <v>15</v>
      </c>
      <c r="F15" s="221"/>
      <c r="G15" s="46"/>
    </row>
    <row r="16" spans="1:7" s="52" customFormat="1" x14ac:dyDescent="0.3">
      <c r="A16" s="48" t="s">
        <v>48</v>
      </c>
      <c r="B16" s="49">
        <v>9</v>
      </c>
      <c r="C16" s="152" t="str">
        <f xml:space="preserve"> IF(B16="","",setValueToTime(B16))</f>
        <v>0h45min</v>
      </c>
      <c r="D16" s="167" t="s">
        <v>85</v>
      </c>
      <c r="E16" s="222"/>
      <c r="F16" s="223"/>
      <c r="G16" s="51"/>
    </row>
    <row r="17" spans="1:7" s="52" customFormat="1" x14ac:dyDescent="0.3">
      <c r="A17" s="53" t="s">
        <v>17</v>
      </c>
      <c r="B17" s="54">
        <v>9</v>
      </c>
      <c r="C17" s="153" t="str">
        <f t="shared" ref="C17:C23" si="1" xml:space="preserve"> IF(B17="","",setValueToTime(B17))</f>
        <v>0h45min</v>
      </c>
      <c r="D17" s="165" t="s">
        <v>84</v>
      </c>
      <c r="E17" s="214"/>
      <c r="F17" s="215"/>
      <c r="G17" s="51"/>
    </row>
    <row r="18" spans="1:7" s="52" customFormat="1" x14ac:dyDescent="0.3">
      <c r="A18" s="53" t="s">
        <v>4</v>
      </c>
      <c r="B18" s="54">
        <v>30</v>
      </c>
      <c r="C18" s="153" t="str">
        <f t="shared" si="1"/>
        <v>2h30min</v>
      </c>
      <c r="D18" s="165" t="s">
        <v>83</v>
      </c>
      <c r="E18" s="214"/>
      <c r="F18" s="21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4"/>
      <c r="F19" s="21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4"/>
      <c r="F20" s="21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4"/>
      <c r="F21" s="21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4"/>
      <c r="F22" s="21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6"/>
      <c r="F23" s="217"/>
      <c r="G23" s="51"/>
    </row>
    <row r="24" spans="1:7" s="52" customFormat="1" ht="15" thickBot="1" x14ac:dyDescent="0.35">
      <c r="A24" s="162" t="s">
        <v>30</v>
      </c>
      <c r="B24" s="83">
        <f>SUM(B16:B23)</f>
        <v>48</v>
      </c>
      <c r="C24" s="162" t="str">
        <f xml:space="preserve"> setValueToTime(B24)</f>
        <v>4h</v>
      </c>
      <c r="D24" s="121"/>
      <c r="E24" s="218"/>
      <c r="F24" s="219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13</v>
      </c>
      <c r="B26" s="164">
        <v>5</v>
      </c>
      <c r="C26" s="164"/>
      <c r="D26" s="157" t="s">
        <v>16</v>
      </c>
      <c r="E26" s="230">
        <v>45265</v>
      </c>
      <c r="F26" s="229"/>
      <c r="G26" s="46"/>
    </row>
    <row r="27" spans="1:7" s="47" customFormat="1" ht="30" customHeight="1" thickBot="1" x14ac:dyDescent="0.3">
      <c r="A27" s="78" t="s">
        <v>5</v>
      </c>
      <c r="B27" s="161" t="s">
        <v>43</v>
      </c>
      <c r="C27" s="160"/>
      <c r="D27" s="78" t="s">
        <v>14</v>
      </c>
      <c r="E27" s="220" t="s">
        <v>15</v>
      </c>
      <c r="F27" s="221"/>
      <c r="G27" s="46"/>
    </row>
    <row r="28" spans="1:7" s="52" customFormat="1" ht="15" thickBot="1" x14ac:dyDescent="0.35">
      <c r="A28" s="48" t="s">
        <v>48</v>
      </c>
      <c r="B28" s="49">
        <v>12</v>
      </c>
      <c r="C28" s="152" t="str">
        <f xml:space="preserve"> IF(B28="","",setValueToTime(B28))</f>
        <v>1h</v>
      </c>
      <c r="D28" s="167" t="s">
        <v>72</v>
      </c>
      <c r="E28" s="222"/>
      <c r="F28" s="223"/>
      <c r="G28" s="51"/>
    </row>
    <row r="29" spans="1:7" s="52" customFormat="1" x14ac:dyDescent="0.3">
      <c r="A29" s="48" t="s">
        <v>48</v>
      </c>
      <c r="B29" s="54">
        <v>6</v>
      </c>
      <c r="C29" s="153" t="str">
        <f t="shared" ref="C29:C33" si="2" xml:space="preserve"> IF(B29="","",setValueToTime(B29))</f>
        <v>0h30min</v>
      </c>
      <c r="D29" s="165" t="s">
        <v>73</v>
      </c>
      <c r="E29" s="214"/>
      <c r="F29" s="215"/>
      <c r="G29" s="51"/>
    </row>
    <row r="30" spans="1:7" s="52" customFormat="1" ht="27" x14ac:dyDescent="0.3">
      <c r="A30" s="53" t="s">
        <v>18</v>
      </c>
      <c r="B30" s="54">
        <v>4</v>
      </c>
      <c r="C30" s="153" t="str">
        <f t="shared" si="2"/>
        <v>0h20min</v>
      </c>
      <c r="D30" s="165" t="s">
        <v>67</v>
      </c>
      <c r="E30" s="214"/>
      <c r="F30" s="215"/>
      <c r="G30" s="51"/>
    </row>
    <row r="31" spans="1:7" s="52" customFormat="1" ht="27" x14ac:dyDescent="0.3">
      <c r="A31" s="53" t="s">
        <v>33</v>
      </c>
      <c r="B31" s="54">
        <v>9</v>
      </c>
      <c r="C31" s="153" t="str">
        <f t="shared" si="2"/>
        <v>0h45min</v>
      </c>
      <c r="D31" s="165" t="s">
        <v>74</v>
      </c>
      <c r="E31" s="214"/>
      <c r="F31" s="215"/>
      <c r="G31" s="51"/>
    </row>
    <row r="32" spans="1:7" s="52" customFormat="1" x14ac:dyDescent="0.3">
      <c r="A32" s="168" t="s">
        <v>54</v>
      </c>
      <c r="B32" s="54">
        <v>3</v>
      </c>
      <c r="C32" s="154" t="str">
        <f t="shared" si="2"/>
        <v>0h15min</v>
      </c>
      <c r="D32" s="165" t="s">
        <v>75</v>
      </c>
      <c r="E32" s="214"/>
      <c r="F32" s="215"/>
      <c r="G32" s="51"/>
    </row>
    <row r="33" spans="1:7" s="52" customFormat="1" x14ac:dyDescent="0.3">
      <c r="A33" s="54" t="s">
        <v>17</v>
      </c>
      <c r="B33" s="54">
        <v>12</v>
      </c>
      <c r="C33" s="154" t="str">
        <f t="shared" si="2"/>
        <v>1h</v>
      </c>
      <c r="D33" s="165" t="s">
        <v>77</v>
      </c>
      <c r="E33" s="214"/>
      <c r="F33" s="215"/>
      <c r="G33" s="51"/>
    </row>
    <row r="34" spans="1:7" s="52" customFormat="1" x14ac:dyDescent="0.3">
      <c r="A34" s="54"/>
      <c r="B34" s="54"/>
      <c r="C34" s="154"/>
      <c r="D34" s="55"/>
      <c r="E34" s="214"/>
      <c r="F34" s="215"/>
      <c r="G34" s="51"/>
    </row>
    <row r="35" spans="1:7" s="52" customFormat="1" ht="15" thickBot="1" x14ac:dyDescent="0.35">
      <c r="A35" s="168" t="s">
        <v>54</v>
      </c>
      <c r="B35" s="54">
        <v>2</v>
      </c>
      <c r="C35" s="154" t="str">
        <f t="shared" ref="C35" si="3" xml:space="preserve"> IF(B35="","",setValueToTime(B35))</f>
        <v>0h10min</v>
      </c>
      <c r="D35" s="165" t="s">
        <v>78</v>
      </c>
      <c r="E35" s="216"/>
      <c r="F35" s="217"/>
      <c r="G35" s="51"/>
    </row>
    <row r="36" spans="1:7" s="52" customFormat="1" ht="15" thickBot="1" x14ac:dyDescent="0.35">
      <c r="A36" s="162" t="s">
        <v>30</v>
      </c>
      <c r="B36" s="83">
        <f>SUM(B28:B35)</f>
        <v>48</v>
      </c>
      <c r="C36" s="162" t="str">
        <f xml:space="preserve"> setValueToTime(B36)</f>
        <v>4h</v>
      </c>
      <c r="D36" s="121"/>
      <c r="E36" s="218"/>
      <c r="F36" s="219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13</v>
      </c>
      <c r="B38" s="164">
        <v>4</v>
      </c>
      <c r="C38" s="164"/>
      <c r="D38" s="157" t="s">
        <v>16</v>
      </c>
      <c r="E38" s="230">
        <v>45265</v>
      </c>
      <c r="F38" s="229"/>
      <c r="G38" s="46"/>
    </row>
    <row r="39" spans="1:7" s="47" customFormat="1" ht="30" customHeight="1" thickBot="1" x14ac:dyDescent="0.3">
      <c r="A39" s="78" t="s">
        <v>5</v>
      </c>
      <c r="B39" s="161" t="s">
        <v>43</v>
      </c>
      <c r="C39" s="160"/>
      <c r="D39" s="78" t="s">
        <v>14</v>
      </c>
      <c r="E39" s="220" t="s">
        <v>15</v>
      </c>
      <c r="F39" s="221"/>
      <c r="G39" s="46"/>
    </row>
    <row r="40" spans="1:7" s="52" customFormat="1" x14ac:dyDescent="0.3">
      <c r="A40" s="48" t="s">
        <v>48</v>
      </c>
      <c r="B40" s="49">
        <v>7</v>
      </c>
      <c r="C40" s="152" t="str">
        <f xml:space="preserve"> IF(B40="","",setValueToTime(B40))</f>
        <v>0h35min</v>
      </c>
      <c r="D40" s="167" t="s">
        <v>69</v>
      </c>
      <c r="E40" s="222"/>
      <c r="F40" s="223"/>
      <c r="G40" s="51"/>
    </row>
    <row r="41" spans="1:7" s="52" customFormat="1" ht="27" x14ac:dyDescent="0.3">
      <c r="A41" s="166" t="s">
        <v>33</v>
      </c>
      <c r="B41" s="54">
        <v>2</v>
      </c>
      <c r="C41" s="153"/>
      <c r="D41" s="165" t="s">
        <v>70</v>
      </c>
      <c r="E41" s="214"/>
      <c r="F41" s="215"/>
      <c r="G41" s="51"/>
    </row>
    <row r="42" spans="1:7" s="52" customFormat="1" x14ac:dyDescent="0.3">
      <c r="A42" s="166" t="s">
        <v>54</v>
      </c>
      <c r="B42" s="54">
        <v>9</v>
      </c>
      <c r="C42" s="153" t="str">
        <f t="shared" ref="C42:C43" si="4" xml:space="preserve"> IF(B42="","",setValueToTime(B42))</f>
        <v>0h45min</v>
      </c>
      <c r="D42" s="165" t="s">
        <v>68</v>
      </c>
      <c r="E42" s="214"/>
      <c r="F42" s="215"/>
      <c r="G42" s="51"/>
    </row>
    <row r="43" spans="1:7" s="52" customFormat="1" x14ac:dyDescent="0.3">
      <c r="A43" s="53" t="s">
        <v>4</v>
      </c>
      <c r="B43" s="54">
        <v>30</v>
      </c>
      <c r="C43" s="153" t="str">
        <f t="shared" si="4"/>
        <v>2h30min</v>
      </c>
      <c r="D43" s="165" t="s">
        <v>71</v>
      </c>
      <c r="E43" s="214"/>
      <c r="F43" s="215"/>
      <c r="G43" s="51"/>
    </row>
    <row r="44" spans="1:7" s="52" customFormat="1" x14ac:dyDescent="0.3">
      <c r="A44" s="54"/>
      <c r="B44" s="54"/>
      <c r="C44" s="154" t="str">
        <f t="shared" ref="C44:C47" si="5" xml:space="preserve"> IF(B44="","",setValueToTime(B44))</f>
        <v/>
      </c>
      <c r="D44" s="55"/>
      <c r="E44" s="214"/>
      <c r="F44" s="215"/>
      <c r="G44" s="51"/>
    </row>
    <row r="45" spans="1:7" s="52" customFormat="1" x14ac:dyDescent="0.3">
      <c r="A45" s="54"/>
      <c r="B45" s="54"/>
      <c r="C45" s="154" t="str">
        <f t="shared" si="5"/>
        <v/>
      </c>
      <c r="D45" s="55"/>
      <c r="E45" s="214"/>
      <c r="F45" s="215"/>
      <c r="G45" s="51"/>
    </row>
    <row r="46" spans="1:7" s="52" customFormat="1" x14ac:dyDescent="0.3">
      <c r="A46" s="54"/>
      <c r="B46" s="54"/>
      <c r="C46" s="154" t="str">
        <f t="shared" si="5"/>
        <v/>
      </c>
      <c r="D46" s="55"/>
      <c r="E46" s="214"/>
      <c r="F46" s="215"/>
      <c r="G46" s="51"/>
    </row>
    <row r="47" spans="1:7" s="52" customFormat="1" ht="15" thickBot="1" x14ac:dyDescent="0.35">
      <c r="A47" s="56"/>
      <c r="B47" s="56"/>
      <c r="C47" s="155" t="str">
        <f t="shared" si="5"/>
        <v/>
      </c>
      <c r="D47" s="57"/>
      <c r="E47" s="216"/>
      <c r="F47" s="217"/>
      <c r="G47" s="51"/>
    </row>
    <row r="48" spans="1:7" s="52" customFormat="1" ht="15" thickBot="1" x14ac:dyDescent="0.35">
      <c r="A48" s="162" t="s">
        <v>30</v>
      </c>
      <c r="B48" s="83">
        <f>SUM(B40:B47)</f>
        <v>48</v>
      </c>
      <c r="C48" s="162" t="str">
        <f xml:space="preserve"> setValueToTime(B48)</f>
        <v>4h</v>
      </c>
      <c r="D48" s="121"/>
      <c r="E48" s="218"/>
      <c r="F48" s="219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13</v>
      </c>
      <c r="B50" s="164">
        <v>3</v>
      </c>
      <c r="C50" s="164"/>
      <c r="D50" s="157" t="s">
        <v>16</v>
      </c>
      <c r="E50" s="230">
        <v>45265</v>
      </c>
      <c r="F50" s="229"/>
      <c r="G50" s="46"/>
    </row>
    <row r="51" spans="1:7" s="47" customFormat="1" ht="30" customHeight="1" thickBot="1" x14ac:dyDescent="0.3">
      <c r="A51" s="78" t="s">
        <v>5</v>
      </c>
      <c r="B51" s="161" t="s">
        <v>43</v>
      </c>
      <c r="C51" s="160"/>
      <c r="D51" s="78" t="s">
        <v>14</v>
      </c>
      <c r="E51" s="220" t="s">
        <v>15</v>
      </c>
      <c r="F51" s="221"/>
      <c r="G51" s="46"/>
    </row>
    <row r="52" spans="1:7" s="52" customFormat="1" x14ac:dyDescent="0.3">
      <c r="A52" s="48" t="s">
        <v>48</v>
      </c>
      <c r="B52" s="49">
        <v>18</v>
      </c>
      <c r="C52" s="152" t="str">
        <f xml:space="preserve"> IF(B52="","",setValueToTime(B52))</f>
        <v>1h30min</v>
      </c>
      <c r="D52" s="167" t="s">
        <v>63</v>
      </c>
      <c r="E52" s="222"/>
      <c r="F52" s="223"/>
      <c r="G52" s="51"/>
    </row>
    <row r="53" spans="1:7" s="52" customFormat="1" ht="27" x14ac:dyDescent="0.3">
      <c r="A53" s="166" t="s">
        <v>33</v>
      </c>
      <c r="B53" s="54">
        <v>10</v>
      </c>
      <c r="C53" s="153" t="str">
        <f t="shared" ref="C53" si="6" xml:space="preserve"> IF(B53="","",setValueToTime(B53))</f>
        <v>0h50min</v>
      </c>
      <c r="D53" s="165" t="s">
        <v>64</v>
      </c>
      <c r="E53" s="214"/>
      <c r="F53" s="215"/>
      <c r="G53" s="51"/>
    </row>
    <row r="54" spans="1:7" s="52" customFormat="1" ht="27.75" thickBot="1" x14ac:dyDescent="0.35">
      <c r="A54" s="166" t="s">
        <v>54</v>
      </c>
      <c r="B54" s="54">
        <v>7</v>
      </c>
      <c r="C54" s="153" t="str">
        <f t="shared" ref="C54:C59" si="7" xml:space="preserve"> IF(B54="","",setValueToTime(B54))</f>
        <v>0h35min</v>
      </c>
      <c r="D54" s="165" t="s">
        <v>66</v>
      </c>
      <c r="E54" s="214"/>
      <c r="F54" s="215"/>
      <c r="G54" s="51"/>
    </row>
    <row r="55" spans="1:7" s="52" customFormat="1" ht="27" x14ac:dyDescent="0.3">
      <c r="A55" s="48" t="s">
        <v>48</v>
      </c>
      <c r="B55" s="54">
        <v>12</v>
      </c>
      <c r="C55" s="153" t="str">
        <f t="shared" si="7"/>
        <v>1h</v>
      </c>
      <c r="D55" s="165" t="s">
        <v>65</v>
      </c>
      <c r="E55" s="214"/>
      <c r="F55" s="215"/>
      <c r="G55" s="51"/>
    </row>
    <row r="56" spans="1:7" s="52" customFormat="1" ht="27" x14ac:dyDescent="0.3">
      <c r="A56" s="53" t="s">
        <v>18</v>
      </c>
      <c r="B56" s="54">
        <v>1</v>
      </c>
      <c r="C56" s="153" t="str">
        <f t="shared" si="7"/>
        <v>0h5min</v>
      </c>
      <c r="D56" s="165" t="s">
        <v>67</v>
      </c>
      <c r="E56" s="214"/>
      <c r="F56" s="215"/>
      <c r="G56" s="51"/>
    </row>
    <row r="57" spans="1:7" s="52" customFormat="1" x14ac:dyDescent="0.3">
      <c r="A57" s="54"/>
      <c r="B57" s="54"/>
      <c r="C57" s="154" t="str">
        <f t="shared" si="7"/>
        <v/>
      </c>
      <c r="D57" s="55"/>
      <c r="E57" s="214"/>
      <c r="F57" s="215"/>
      <c r="G57" s="51"/>
    </row>
    <row r="58" spans="1:7" s="52" customFormat="1" x14ac:dyDescent="0.3">
      <c r="A58" s="54"/>
      <c r="B58" s="54"/>
      <c r="C58" s="154" t="str">
        <f t="shared" si="7"/>
        <v/>
      </c>
      <c r="D58" s="55"/>
      <c r="E58" s="214"/>
      <c r="F58" s="215"/>
      <c r="G58" s="51"/>
    </row>
    <row r="59" spans="1:7" s="52" customFormat="1" ht="15" thickBot="1" x14ac:dyDescent="0.35">
      <c r="A59" s="56"/>
      <c r="B59" s="56"/>
      <c r="C59" s="155" t="str">
        <f t="shared" si="7"/>
        <v/>
      </c>
      <c r="D59" s="57"/>
      <c r="E59" s="216"/>
      <c r="F59" s="217"/>
      <c r="G59" s="51"/>
    </row>
    <row r="60" spans="1:7" s="52" customFormat="1" ht="15" thickBot="1" x14ac:dyDescent="0.35">
      <c r="A60" s="162" t="s">
        <v>30</v>
      </c>
      <c r="B60" s="83">
        <f>SUM(B52:B59)</f>
        <v>48</v>
      </c>
      <c r="C60" s="162" t="str">
        <f xml:space="preserve"> setValueToTime(B60)</f>
        <v>4h</v>
      </c>
      <c r="D60" s="121"/>
      <c r="E60" s="218"/>
      <c r="F60" s="219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13</v>
      </c>
      <c r="B62" s="164">
        <v>2</v>
      </c>
      <c r="C62" s="164"/>
      <c r="D62" s="157" t="s">
        <v>16</v>
      </c>
      <c r="E62" s="230">
        <v>45244</v>
      </c>
      <c r="F62" s="229"/>
      <c r="G62" s="46"/>
    </row>
    <row r="63" spans="1:7" s="47" customFormat="1" ht="30" customHeight="1" thickBot="1" x14ac:dyDescent="0.3">
      <c r="A63" s="78" t="s">
        <v>5</v>
      </c>
      <c r="B63" s="161" t="s">
        <v>43</v>
      </c>
      <c r="C63" s="160"/>
      <c r="D63" s="78" t="s">
        <v>14</v>
      </c>
      <c r="E63" s="220" t="s">
        <v>15</v>
      </c>
      <c r="F63" s="221"/>
      <c r="G63" s="46"/>
    </row>
    <row r="64" spans="1:7" s="52" customFormat="1" ht="15" thickBot="1" x14ac:dyDescent="0.35">
      <c r="A64" s="48" t="s">
        <v>48</v>
      </c>
      <c r="B64" s="49">
        <v>29</v>
      </c>
      <c r="C64" s="152" t="str">
        <f xml:space="preserve"> IF(B64="","",setValueToTime(B64))</f>
        <v>2h25min</v>
      </c>
      <c r="D64" s="167" t="s">
        <v>61</v>
      </c>
      <c r="E64" s="222"/>
      <c r="F64" s="223"/>
      <c r="G64" s="51"/>
    </row>
    <row r="65" spans="1:7" s="52" customFormat="1" ht="27" x14ac:dyDescent="0.3">
      <c r="A65" s="53" t="s">
        <v>33</v>
      </c>
      <c r="B65" s="49">
        <v>6</v>
      </c>
      <c r="C65" s="153" t="str">
        <f t="shared" ref="C65:C68" si="8" xml:space="preserve"> IF(B65="","",setValueToTime(B65))</f>
        <v>0h30min</v>
      </c>
      <c r="D65" s="165" t="s">
        <v>59</v>
      </c>
      <c r="E65" s="214"/>
      <c r="F65" s="215"/>
      <c r="G65" s="51"/>
    </row>
    <row r="66" spans="1:7" s="52" customFormat="1" x14ac:dyDescent="0.3">
      <c r="A66" s="166" t="s">
        <v>54</v>
      </c>
      <c r="B66" s="54">
        <v>4</v>
      </c>
      <c r="C66" s="153" t="str">
        <f t="shared" si="8"/>
        <v>0h20min</v>
      </c>
      <c r="D66" s="165" t="s">
        <v>60</v>
      </c>
      <c r="E66" s="214"/>
      <c r="F66" s="215"/>
      <c r="G66" s="51"/>
    </row>
    <row r="67" spans="1:7" s="52" customFormat="1" x14ac:dyDescent="0.3">
      <c r="A67" s="54" t="s">
        <v>47</v>
      </c>
      <c r="B67" s="54">
        <v>8</v>
      </c>
      <c r="C67" s="154" t="str">
        <f t="shared" si="8"/>
        <v>0h40min</v>
      </c>
      <c r="D67" s="165" t="s">
        <v>56</v>
      </c>
      <c r="E67" s="214"/>
      <c r="F67" s="215"/>
      <c r="G67" s="51"/>
    </row>
    <row r="68" spans="1:7" s="52" customFormat="1" ht="27" x14ac:dyDescent="0.3">
      <c r="A68" s="53" t="s">
        <v>18</v>
      </c>
      <c r="B68" s="54">
        <v>1</v>
      </c>
      <c r="C68" s="153" t="str">
        <f t="shared" si="8"/>
        <v>0h5min</v>
      </c>
      <c r="D68" s="165" t="s">
        <v>67</v>
      </c>
      <c r="E68" s="214"/>
      <c r="F68" s="215"/>
      <c r="G68" s="51"/>
    </row>
    <row r="69" spans="1:7" s="52" customFormat="1" x14ac:dyDescent="0.3">
      <c r="A69" s="54"/>
      <c r="B69" s="54"/>
      <c r="C69" s="154" t="str">
        <f t="shared" ref="C69:C71" si="9" xml:space="preserve"> IF(B69="","",setValueToTime(B69))</f>
        <v/>
      </c>
      <c r="D69" s="55"/>
      <c r="E69" s="214"/>
      <c r="F69" s="215"/>
      <c r="G69" s="51"/>
    </row>
    <row r="70" spans="1:7" s="52" customFormat="1" x14ac:dyDescent="0.3">
      <c r="A70" s="54"/>
      <c r="B70" s="54"/>
      <c r="C70" s="154" t="str">
        <f t="shared" si="9"/>
        <v/>
      </c>
      <c r="D70" s="55"/>
      <c r="E70" s="214"/>
      <c r="F70" s="215"/>
      <c r="G70" s="51"/>
    </row>
    <row r="71" spans="1:7" s="52" customFormat="1" ht="15" thickBot="1" x14ac:dyDescent="0.35">
      <c r="A71" s="56"/>
      <c r="B71" s="56"/>
      <c r="C71" s="155" t="str">
        <f t="shared" si="9"/>
        <v/>
      </c>
      <c r="D71" s="57"/>
      <c r="E71" s="216"/>
      <c r="F71" s="217"/>
      <c r="G71" s="51"/>
    </row>
    <row r="72" spans="1:7" s="52" customFormat="1" ht="15" thickBot="1" x14ac:dyDescent="0.35">
      <c r="A72" s="162" t="s">
        <v>30</v>
      </c>
      <c r="B72" s="83">
        <f>SUM(B64:B71)</f>
        <v>48</v>
      </c>
      <c r="C72" s="162" t="str">
        <f xml:space="preserve"> setValueToTime(B72)</f>
        <v>4h</v>
      </c>
      <c r="D72" s="121"/>
      <c r="E72" s="218"/>
      <c r="F72" s="219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13</v>
      </c>
      <c r="B74" s="164">
        <v>1</v>
      </c>
      <c r="C74" s="164"/>
      <c r="D74" s="157" t="s">
        <v>16</v>
      </c>
      <c r="E74" s="230">
        <v>45244</v>
      </c>
      <c r="F74" s="229"/>
      <c r="G74" s="46"/>
    </row>
    <row r="75" spans="1:7" s="47" customFormat="1" ht="30" customHeight="1" thickBot="1" x14ac:dyDescent="0.3">
      <c r="A75" s="78" t="s">
        <v>5</v>
      </c>
      <c r="B75" s="161" t="s">
        <v>43</v>
      </c>
      <c r="C75" s="160"/>
      <c r="D75" s="78" t="s">
        <v>14</v>
      </c>
      <c r="E75" s="220" t="s">
        <v>15</v>
      </c>
      <c r="F75" s="221"/>
      <c r="G75" s="46"/>
    </row>
    <row r="76" spans="1:7" s="52" customFormat="1" ht="15" thickBot="1" x14ac:dyDescent="0.35">
      <c r="A76" s="48" t="s">
        <v>48</v>
      </c>
      <c r="B76" s="49">
        <v>16</v>
      </c>
      <c r="C76" s="152" t="str">
        <f xml:space="preserve"> IF(B76="","",setValueToTime(B76))</f>
        <v>1h20min</v>
      </c>
      <c r="D76" s="167" t="s">
        <v>62</v>
      </c>
      <c r="E76" s="222"/>
      <c r="F76" s="223"/>
      <c r="G76" s="51"/>
    </row>
    <row r="77" spans="1:7" s="52" customFormat="1" ht="27" x14ac:dyDescent="0.3">
      <c r="A77" s="53" t="s">
        <v>33</v>
      </c>
      <c r="B77" s="49">
        <v>6</v>
      </c>
      <c r="C77" s="153" t="str">
        <f t="shared" ref="C77:C83" si="10" xml:space="preserve"> IF(B77="","",setValueToTime(B77))</f>
        <v>0h30min</v>
      </c>
      <c r="D77" s="165" t="s">
        <v>58</v>
      </c>
      <c r="E77" s="214"/>
      <c r="F77" s="215"/>
      <c r="G77" s="51"/>
    </row>
    <row r="78" spans="1:7" s="52" customFormat="1" ht="27" x14ac:dyDescent="0.3">
      <c r="A78" s="53" t="s">
        <v>18</v>
      </c>
      <c r="B78" s="54">
        <v>4</v>
      </c>
      <c r="C78" s="153" t="str">
        <f t="shared" si="10"/>
        <v>0h20min</v>
      </c>
      <c r="D78" s="165" t="s">
        <v>53</v>
      </c>
      <c r="E78" s="214"/>
      <c r="F78" s="215"/>
      <c r="G78" s="51"/>
    </row>
    <row r="79" spans="1:7" s="52" customFormat="1" x14ac:dyDescent="0.3">
      <c r="A79" s="166" t="s">
        <v>54</v>
      </c>
      <c r="B79" s="54">
        <v>4</v>
      </c>
      <c r="C79" s="153" t="str">
        <f t="shared" si="10"/>
        <v>0h20min</v>
      </c>
      <c r="D79" s="165" t="s">
        <v>55</v>
      </c>
      <c r="E79" s="214"/>
      <c r="F79" s="215"/>
      <c r="G79" s="51"/>
    </row>
    <row r="80" spans="1:7" s="52" customFormat="1" x14ac:dyDescent="0.3">
      <c r="A80" s="54" t="s">
        <v>47</v>
      </c>
      <c r="B80" s="54">
        <v>8</v>
      </c>
      <c r="C80" s="154" t="str">
        <f t="shared" si="10"/>
        <v>0h40min</v>
      </c>
      <c r="D80" s="165" t="s">
        <v>56</v>
      </c>
      <c r="E80" s="214"/>
      <c r="F80" s="215"/>
      <c r="G80" s="51"/>
    </row>
    <row r="81" spans="1:7" s="52" customFormat="1" ht="27" x14ac:dyDescent="0.3">
      <c r="A81" s="54" t="s">
        <v>33</v>
      </c>
      <c r="B81" s="54">
        <v>10</v>
      </c>
      <c r="C81" s="154" t="str">
        <f t="shared" si="10"/>
        <v>0h50min</v>
      </c>
      <c r="D81" s="165" t="s">
        <v>57</v>
      </c>
      <c r="E81" s="214"/>
      <c r="F81" s="215"/>
      <c r="G81" s="51"/>
    </row>
    <row r="82" spans="1:7" s="52" customFormat="1" x14ac:dyDescent="0.3">
      <c r="A82" s="54"/>
      <c r="B82" s="54"/>
      <c r="C82" s="154" t="str">
        <f t="shared" si="10"/>
        <v/>
      </c>
      <c r="D82" s="55"/>
      <c r="E82" s="214"/>
      <c r="F82" s="215"/>
      <c r="G82" s="51"/>
    </row>
    <row r="83" spans="1:7" s="52" customFormat="1" ht="15" thickBot="1" x14ac:dyDescent="0.35">
      <c r="A83" s="56"/>
      <c r="B83" s="56"/>
      <c r="C83" s="155" t="str">
        <f t="shared" si="10"/>
        <v/>
      </c>
      <c r="D83" s="57"/>
      <c r="E83" s="216"/>
      <c r="F83" s="217"/>
      <c r="G83" s="51"/>
    </row>
    <row r="84" spans="1:7" s="52" customFormat="1" ht="15" thickBot="1" x14ac:dyDescent="0.35">
      <c r="A84" s="162" t="s">
        <v>30</v>
      </c>
      <c r="B84" s="83">
        <f>SUM(B76:B83)</f>
        <v>48</v>
      </c>
      <c r="C84" s="162" t="str">
        <f xml:space="preserve"> setValueToTime(B84)</f>
        <v>4h</v>
      </c>
      <c r="D84" s="121"/>
      <c r="E84" s="218"/>
      <c r="F84" s="219"/>
      <c r="G84" s="51"/>
    </row>
    <row r="85" spans="1:7" s="59" customFormat="1" x14ac:dyDescent="0.3">
      <c r="A85" s="77"/>
      <c r="B85" s="77"/>
      <c r="C85" s="77"/>
      <c r="D85" s="77"/>
      <c r="E85" s="77"/>
      <c r="F85" s="77"/>
      <c r="G85" s="58"/>
    </row>
  </sheetData>
  <sheetProtection formatRows="0" insertRows="0" insertHyperlinks="0" deleteRows="0" selectLockedCells="1"/>
  <mergeCells count="77">
    <mergeCell ref="E74:F74"/>
    <mergeCell ref="E2:F2"/>
    <mergeCell ref="E14:F14"/>
    <mergeCell ref="E26:F26"/>
    <mergeCell ref="E38:F38"/>
    <mergeCell ref="E50:F50"/>
    <mergeCell ref="E62:F62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80:F80"/>
  </mergeCells>
  <phoneticPr fontId="0" type="noConversion"/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40:B47 B64:B71 B52:B59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>
      <formula1>0</formula1>
      <formula2>60</formula2>
    </dataValidation>
    <dataValidation type="list" allowBlank="1" showInputMessage="1" showErrorMessage="1" sqref="A76:A83 A40:A47 A64:A71 A52:A59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1"/>
      <c r="B10" s="191"/>
      <c r="C10" s="191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1"/>
      <c r="BE10" s="191"/>
      <c r="BF10" s="191"/>
      <c r="BG10" s="191"/>
      <c r="BH10" s="191"/>
      <c r="BI10" s="90"/>
    </row>
    <row r="11" spans="1:61" ht="18" x14ac:dyDescent="0.25">
      <c r="A11" s="199"/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90"/>
    </row>
    <row r="12" spans="1:61" ht="18.75" thickBot="1" x14ac:dyDescent="0.3">
      <c r="A12" s="200"/>
      <c r="B12" s="200"/>
      <c r="C12" s="200"/>
      <c r="D12" s="200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00"/>
      <c r="AP12" s="200"/>
      <c r="AQ12" s="200"/>
      <c r="AR12" s="200"/>
      <c r="AS12" s="200"/>
      <c r="AT12" s="200"/>
      <c r="AU12" s="200"/>
      <c r="AV12" s="200"/>
      <c r="AW12" s="200"/>
      <c r="AX12" s="200"/>
      <c r="AY12" s="200"/>
      <c r="AZ12" s="200"/>
      <c r="BA12" s="200"/>
      <c r="BB12" s="200"/>
      <c r="BC12" s="200"/>
      <c r="BD12" s="200"/>
      <c r="BE12" s="200"/>
      <c r="BF12" s="200"/>
      <c r="BG12" s="200"/>
      <c r="BH12" s="200"/>
      <c r="BI12" s="90"/>
    </row>
    <row r="13" spans="1:61" ht="18.75" thickBot="1" x14ac:dyDescent="0.3">
      <c r="A13" s="201" t="s">
        <v>13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3"/>
      <c r="BI13" s="90"/>
    </row>
    <row r="14" spans="1:61" ht="15.75" thickBot="1" x14ac:dyDescent="0.35">
      <c r="A14" s="103"/>
      <c r="B14" s="104"/>
      <c r="C14" s="104"/>
      <c r="D14" s="104"/>
      <c r="E14" s="204" t="s">
        <v>37</v>
      </c>
      <c r="F14" s="204"/>
      <c r="G14" s="204"/>
      <c r="H14" s="204"/>
      <c r="I14" s="104"/>
      <c r="J14" s="104"/>
      <c r="K14" s="205" t="s">
        <v>25</v>
      </c>
      <c r="L14" s="205"/>
      <c r="M14" s="205"/>
      <c r="N14" s="205"/>
      <c r="O14" s="129"/>
      <c r="P14" s="129"/>
      <c r="Q14" s="204" t="s">
        <v>38</v>
      </c>
      <c r="R14" s="204"/>
      <c r="S14" s="204"/>
      <c r="T14" s="204"/>
      <c r="U14" s="104"/>
      <c r="V14" s="104"/>
      <c r="W14" s="205" t="s">
        <v>26</v>
      </c>
      <c r="X14" s="205"/>
      <c r="Y14" s="205"/>
      <c r="Z14" s="205"/>
      <c r="AA14" s="129"/>
      <c r="AB14" s="129"/>
      <c r="AC14" s="204" t="s">
        <v>39</v>
      </c>
      <c r="AD14" s="204"/>
      <c r="AE14" s="204"/>
      <c r="AF14" s="204"/>
      <c r="AG14" s="104"/>
      <c r="AH14" s="104"/>
      <c r="AI14" s="205" t="s">
        <v>27</v>
      </c>
      <c r="AJ14" s="205"/>
      <c r="AK14" s="205"/>
      <c r="AL14" s="205"/>
      <c r="AM14" s="129"/>
      <c r="AN14" s="129"/>
      <c r="AO14" s="204" t="s">
        <v>40</v>
      </c>
      <c r="AP14" s="204"/>
      <c r="AQ14" s="204"/>
      <c r="AR14" s="204"/>
      <c r="AS14" s="104"/>
      <c r="AT14" s="104"/>
      <c r="AU14" s="205" t="s">
        <v>28</v>
      </c>
      <c r="AV14" s="205"/>
      <c r="AW14" s="205"/>
      <c r="AX14" s="205"/>
      <c r="AY14" s="129"/>
      <c r="AZ14" s="129"/>
      <c r="BA14" s="204" t="s">
        <v>41</v>
      </c>
      <c r="BB14" s="204"/>
      <c r="BC14" s="204"/>
      <c r="BD14" s="20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13</v>
      </c>
      <c r="B1" s="163">
        <v>1</v>
      </c>
      <c r="C1" s="163"/>
      <c r="D1" s="82" t="s">
        <v>16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43</v>
      </c>
      <c r="C2" s="151"/>
      <c r="D2" s="80" t="s">
        <v>14</v>
      </c>
      <c r="E2" s="224" t="s">
        <v>15</v>
      </c>
      <c r="F2" s="22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2"/>
      <c r="F3" s="22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4"/>
      <c r="F4" s="21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4"/>
      <c r="F5" s="21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4"/>
      <c r="F6" s="21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4"/>
      <c r="F7" s="21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4"/>
      <c r="F8" s="21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4"/>
      <c r="F9" s="21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6"/>
      <c r="F10" s="217"/>
      <c r="G10" s="51"/>
    </row>
    <row r="11" spans="1:7" s="52" customFormat="1" ht="15" thickBot="1" x14ac:dyDescent="0.35">
      <c r="A11" s="111" t="s">
        <v>30</v>
      </c>
      <c r="B11" s="84">
        <f>SUM(B3:B10)</f>
        <v>0</v>
      </c>
      <c r="C11" s="111" t="str">
        <f xml:space="preserve"> setValueToTime(B11)</f>
        <v>0h</v>
      </c>
      <c r="D11" s="120"/>
      <c r="E11" s="226"/>
      <c r="F11" s="22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13</v>
      </c>
      <c r="B1" s="164">
        <v>1</v>
      </c>
      <c r="C1" s="164"/>
      <c r="D1" s="157" t="s">
        <v>16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43</v>
      </c>
      <c r="C2" s="160"/>
      <c r="D2" s="78" t="s">
        <v>14</v>
      </c>
      <c r="E2" s="220" t="s">
        <v>15</v>
      </c>
      <c r="F2" s="22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2"/>
      <c r="F3" s="22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4"/>
      <c r="F4" s="21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4"/>
      <c r="F5" s="21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4"/>
      <c r="F6" s="21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4"/>
      <c r="F7" s="21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4"/>
      <c r="F8" s="21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4"/>
      <c r="F9" s="21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6"/>
      <c r="F10" s="217"/>
      <c r="G10" s="51"/>
    </row>
    <row r="11" spans="1:7" s="52" customFormat="1" ht="15" thickBot="1" x14ac:dyDescent="0.35">
      <c r="A11" s="162" t="s">
        <v>30</v>
      </c>
      <c r="B11" s="83">
        <f>SUM(B3:B10)</f>
        <v>0</v>
      </c>
      <c r="C11" s="162" t="str">
        <f xml:space="preserve"> setValueToTime(B11)</f>
        <v>0h</v>
      </c>
      <c r="D11" s="121"/>
      <c r="E11" s="218"/>
      <c r="F11" s="21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bf2f2df3-a963-4452-b0e7-67dabc627c35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f7d9f5a6-831d-4621-8c77-cbcaf993e406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8FA07E3-48F7-4741-BFD5-F28CA9491C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EthanAymeric Schafstall</dc:creator>
  <cp:lastModifiedBy>EthanAymeric Schafstall</cp:lastModifiedBy>
  <cp:lastPrinted>2019-05-08T10:31:53Z</cp:lastPrinted>
  <dcterms:created xsi:type="dcterms:W3CDTF">1996-10-21T11:03:58Z</dcterms:created>
  <dcterms:modified xsi:type="dcterms:W3CDTF">2024-01-09T15:30:39Z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