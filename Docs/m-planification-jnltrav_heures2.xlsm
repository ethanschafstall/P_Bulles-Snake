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thschafsta\Documents\GitHub\P_Bulles-Snake\Docs\"/>
    </mc:Choice>
  </mc:AlternateContent>
  <bookViews>
    <workbookView xWindow="0" yWindow="0" windowWidth="28800" windowHeight="123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90" i="1"/>
  <c r="D24" i="1"/>
  <c r="D65" i="1"/>
  <c r="D41" i="1"/>
  <c r="D77" i="1"/>
  <c r="D25" i="1"/>
  <c r="D75" i="1"/>
  <c r="D79" i="1"/>
  <c r="D38" i="1"/>
  <c r="D27" i="1"/>
  <c r="D88" i="1"/>
  <c r="D70" i="1"/>
  <c r="D29" i="1"/>
  <c r="D86" i="1"/>
  <c r="D68" i="1"/>
  <c r="D48" i="1"/>
  <c r="D54" i="1"/>
  <c r="D59" i="1"/>
  <c r="C11" i="16"/>
  <c r="D32" i="1"/>
  <c r="D33" i="1"/>
  <c r="D46" i="1"/>
  <c r="D60" i="1"/>
  <c r="D78" i="1"/>
  <c r="D22" i="1"/>
  <c r="D81" i="1"/>
  <c r="D76" i="1"/>
  <c r="D71" i="1"/>
  <c r="D39" i="1"/>
  <c r="D15" i="1"/>
  <c r="D40" i="1"/>
  <c r="D44" i="1"/>
  <c r="D53" i="1"/>
  <c r="D89" i="1"/>
  <c r="D73" i="1"/>
  <c r="D58" i="1"/>
  <c r="D42" i="1"/>
  <c r="D45" i="1"/>
  <c r="D72" i="1"/>
  <c r="D17" i="1"/>
  <c r="D16" i="1"/>
  <c r="D62" i="1"/>
  <c r="D34" i="1"/>
  <c r="D92" i="1"/>
  <c r="D20" i="1"/>
  <c r="D66" i="1"/>
  <c r="D94" i="1"/>
  <c r="D83" i="1"/>
  <c r="D28" i="1"/>
  <c r="D35" i="1"/>
  <c r="D61" i="1"/>
  <c r="D80" i="1"/>
  <c r="D19" i="1"/>
  <c r="D64" i="1"/>
  <c r="D82" i="1"/>
  <c r="D57" i="1"/>
  <c r="D56" i="1"/>
  <c r="D67" i="1"/>
  <c r="C11" i="15"/>
  <c r="D91" i="1"/>
  <c r="D93" i="1"/>
  <c r="D84" i="1"/>
  <c r="D37" i="1"/>
  <c r="D50" i="1"/>
  <c r="D69" i="1"/>
  <c r="D18" i="1"/>
  <c r="D74" i="1"/>
  <c r="D55" i="1"/>
  <c r="D36" i="1"/>
  <c r="D87" i="1"/>
  <c r="D85" i="1"/>
  <c r="D52" i="1"/>
  <c r="D63" i="1"/>
  <c r="D49" i="1"/>
  <c r="D43" i="1"/>
  <c r="D51" i="1"/>
  <c r="D47" i="1"/>
  <c r="D21" i="1"/>
  <c r="D26" i="1"/>
  <c r="D30" i="1"/>
  <c r="D23" i="1"/>
  <c r="D31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<sst xmlns="http://schemas.openxmlformats.org/spreadsheetml/2006/main" count="178" uniqueCount="52">
  <si>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</si>
  <si>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</si>
  <si>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</si>
  <si>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</si>
  <si>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</si>
  <si>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</si>
  <si>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</si>
  <si>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</si>
  <si>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</si>
  <si>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</si>
  <si>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</si>
  <si>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</si>
  <si>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NNN - Compétence du module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</si>
  <si>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</si>
  <si>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</si>
  <si>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</si>
  <si>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</si>
  <si>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</si>
  <si>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</si>
  <si>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</si>
  <si>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</si>
  <si>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</si>
  <si>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</si>
  <si>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</si>
  <si>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</si>
  <si>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</si>
  <si>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</si>
  <si>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</si>
  <si>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</si>
  <si>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</si>
  <si>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</si>
  <si>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</si>
  <si>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</si>
  <si>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</si>
  <si>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</si>
  <si>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</si>
  <si>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</si>
  <si>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</si>
  <si>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</si>
  <si>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</si>
  <si>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</si>
  <si>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</si>
  <si>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</si>
  <si>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</si>
  <si>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</si>
  <si>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</si>
  <si>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</si>
  <si>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Aide mémoire</t>
  </si>
  <si>
    <t>Codage</t>
  </si>
  <si>
    <t>Du 07.11.2023 au 09.01.2024</t>
  </si>
  <si>
    <t>CID2B</t>
  </si>
  <si>
    <t>Ethan Schafstall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</si>
</sst>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Aide mémoire</c:v>
              </c:pt>
              <c:pt idx="6">
                <c:v>Codage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380123" y="197069"/>
          <a:ext cx="1279072" cy="3976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35</v>
      </c>
      <c r="C35" s="166"/>
      <c r="D35" s="166"/>
      <c r="E35" s="107" t="s">
        <v>44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36</v>
      </c>
      <c r="C37" s="167"/>
      <c r="D37" s="167"/>
      <c r="E37" s="109" t="s">
        <v>44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31</v>
      </c>
      <c r="E39" s="140" t="s">
        <v>44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abSelected="1" zoomScale="85" zoomScaleNormal="85" zoomScaleSheetLayoutView="43" workbookViewId="0">
      <selection activeCell="BV24" sqref="BV2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32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12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51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50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49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19</v>
      </c>
      <c r="D9" s="142"/>
      <c r="E9" s="13" t="s">
        <v>23</v>
      </c>
      <c r="F9" s="14"/>
      <c r="G9" s="189" t="str">
        <f>E96</f>
        <v>0h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24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0h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96"/>
      <c r="D11" s="196"/>
      <c r="E11" s="196"/>
      <c r="F11" s="187" t="s">
        <v>45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45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45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90"/>
    </row>
    <row r="12" spans="1:186" ht="15.75" customHeight="1" thickBot="1" x14ac:dyDescent="0.3">
      <c r="B12" s="97"/>
      <c r="C12" s="197"/>
      <c r="D12" s="197"/>
      <c r="E12" s="197"/>
      <c r="F12" s="186" t="s">
        <v>46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46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46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90"/>
    </row>
    <row r="13" spans="1:186" ht="42.75" customHeight="1" thickBot="1" x14ac:dyDescent="0.3">
      <c r="B13" s="96"/>
      <c r="C13" s="192" t="s">
        <v>7</v>
      </c>
      <c r="D13" s="145"/>
      <c r="E13" s="194" t="s">
        <v>42</v>
      </c>
      <c r="F13" s="169" t="s">
        <v>8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29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20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2" t="s">
        <v>37</v>
      </c>
      <c r="K14" s="172"/>
      <c r="L14" s="172"/>
      <c r="M14" s="172"/>
      <c r="N14" s="104"/>
      <c r="O14" s="104"/>
      <c r="P14" s="168" t="s">
        <v>25</v>
      </c>
      <c r="Q14" s="168"/>
      <c r="R14" s="168"/>
      <c r="S14" s="168"/>
      <c r="T14" s="129"/>
      <c r="U14" s="129"/>
      <c r="V14" s="172" t="s">
        <v>38</v>
      </c>
      <c r="W14" s="172"/>
      <c r="X14" s="172"/>
      <c r="Y14" s="172"/>
      <c r="Z14" s="104"/>
      <c r="AA14" s="104"/>
      <c r="AB14" s="168" t="s">
        <v>26</v>
      </c>
      <c r="AC14" s="168"/>
      <c r="AD14" s="168"/>
      <c r="AE14" s="168"/>
      <c r="AF14" s="129"/>
      <c r="AG14" s="129"/>
      <c r="AH14" s="172" t="s">
        <v>39</v>
      </c>
      <c r="AI14" s="172"/>
      <c r="AJ14" s="172"/>
      <c r="AK14" s="172"/>
      <c r="AL14" s="104"/>
      <c r="AM14" s="104"/>
      <c r="AN14" s="168" t="s">
        <v>27</v>
      </c>
      <c r="AO14" s="168"/>
      <c r="AP14" s="168"/>
      <c r="AQ14" s="168"/>
      <c r="AR14" s="129"/>
      <c r="AS14" s="129"/>
      <c r="AT14" s="172" t="s">
        <v>40</v>
      </c>
      <c r="AU14" s="172"/>
      <c r="AV14" s="172"/>
      <c r="AW14" s="172"/>
      <c r="AX14" s="104"/>
      <c r="AY14" s="104"/>
      <c r="AZ14" s="168" t="s">
        <v>28</v>
      </c>
      <c r="BA14" s="168"/>
      <c r="BB14" s="168"/>
      <c r="BC14" s="168"/>
      <c r="BD14" s="129"/>
      <c r="BE14" s="129"/>
      <c r="BF14" s="172" t="s">
        <v>41</v>
      </c>
      <c r="BG14" s="172"/>
      <c r="BH14" s="172"/>
      <c r="BI14" s="172"/>
      <c r="BJ14" s="104"/>
      <c r="BK14" s="104"/>
      <c r="BL14" s="104"/>
      <c r="BM14" s="105"/>
      <c r="BN14" s="103"/>
      <c r="BO14" s="104"/>
      <c r="BP14" s="104"/>
      <c r="BQ14" s="104"/>
      <c r="BR14" s="172" t="s">
        <v>37</v>
      </c>
      <c r="BS14" s="172"/>
      <c r="BT14" s="172"/>
      <c r="BU14" s="172"/>
      <c r="BV14" s="104"/>
      <c r="BW14" s="104"/>
      <c r="BX14" s="168" t="s">
        <v>25</v>
      </c>
      <c r="BY14" s="168"/>
      <c r="BZ14" s="168"/>
      <c r="CA14" s="168"/>
      <c r="CB14" s="129"/>
      <c r="CC14" s="129"/>
      <c r="CD14" s="172" t="s">
        <v>38</v>
      </c>
      <c r="CE14" s="172"/>
      <c r="CF14" s="172"/>
      <c r="CG14" s="172"/>
      <c r="CH14" s="104"/>
      <c r="CI14" s="104"/>
      <c r="CJ14" s="168" t="s">
        <v>26</v>
      </c>
      <c r="CK14" s="168"/>
      <c r="CL14" s="168"/>
      <c r="CM14" s="168"/>
      <c r="CN14" s="129"/>
      <c r="CO14" s="129"/>
      <c r="CP14" s="172" t="s">
        <v>39</v>
      </c>
      <c r="CQ14" s="172"/>
      <c r="CR14" s="172"/>
      <c r="CS14" s="172"/>
      <c r="CT14" s="104"/>
      <c r="CU14" s="104"/>
      <c r="CV14" s="168" t="s">
        <v>27</v>
      </c>
      <c r="CW14" s="168"/>
      <c r="CX14" s="168"/>
      <c r="CY14" s="168"/>
      <c r="CZ14" s="129"/>
      <c r="DA14" s="129"/>
      <c r="DB14" s="172" t="s">
        <v>40</v>
      </c>
      <c r="DC14" s="172"/>
      <c r="DD14" s="172"/>
      <c r="DE14" s="172"/>
      <c r="DF14" s="104"/>
      <c r="DG14" s="104"/>
      <c r="DH14" s="168" t="s">
        <v>28</v>
      </c>
      <c r="DI14" s="168"/>
      <c r="DJ14" s="168"/>
      <c r="DK14" s="168"/>
      <c r="DL14" s="129"/>
      <c r="DM14" s="129"/>
      <c r="DN14" s="172" t="s">
        <v>41</v>
      </c>
      <c r="DO14" s="172"/>
      <c r="DP14" s="172"/>
      <c r="DQ14" s="172"/>
      <c r="DR14" s="104"/>
      <c r="DS14" s="104"/>
      <c r="DT14" s="104"/>
      <c r="DU14" s="105"/>
      <c r="DV14" s="103"/>
      <c r="DW14" s="104"/>
      <c r="DX14" s="104"/>
      <c r="DY14" s="104"/>
      <c r="DZ14" s="172" t="s">
        <v>37</v>
      </c>
      <c r="EA14" s="172"/>
      <c r="EB14" s="172"/>
      <c r="EC14" s="172"/>
      <c r="ED14" s="104"/>
      <c r="EE14" s="104"/>
      <c r="EF14" s="168" t="s">
        <v>25</v>
      </c>
      <c r="EG14" s="168"/>
      <c r="EH14" s="168"/>
      <c r="EI14" s="168"/>
      <c r="EJ14" s="129"/>
      <c r="EK14" s="129"/>
      <c r="EL14" s="172" t="s">
        <v>38</v>
      </c>
      <c r="EM14" s="172"/>
      <c r="EN14" s="172"/>
      <c r="EO14" s="172"/>
      <c r="EP14" s="104"/>
      <c r="EQ14" s="104"/>
      <c r="ER14" s="168" t="s">
        <v>26</v>
      </c>
      <c r="ES14" s="168"/>
      <c r="ET14" s="168"/>
      <c r="EU14" s="168"/>
      <c r="EV14" s="129"/>
      <c r="EW14" s="129"/>
      <c r="EX14" s="172" t="s">
        <v>39</v>
      </c>
      <c r="EY14" s="172"/>
      <c r="EZ14" s="172"/>
      <c r="FA14" s="172"/>
      <c r="FB14" s="104"/>
      <c r="FC14" s="104"/>
      <c r="FD14" s="168" t="s">
        <v>27</v>
      </c>
      <c r="FE14" s="168"/>
      <c r="FF14" s="168"/>
      <c r="FG14" s="168"/>
      <c r="FH14" s="129"/>
      <c r="FI14" s="129"/>
      <c r="FJ14" s="172" t="s">
        <v>40</v>
      </c>
      <c r="FK14" s="172"/>
      <c r="FL14" s="172"/>
      <c r="FM14" s="172"/>
      <c r="FN14" s="104"/>
      <c r="FO14" s="104"/>
      <c r="FP14" s="168" t="s">
        <v>28</v>
      </c>
      <c r="FQ14" s="168"/>
      <c r="FR14" s="168"/>
      <c r="FS14" s="168"/>
      <c r="FT14" s="129"/>
      <c r="FU14" s="129"/>
      <c r="FV14" s="172" t="s">
        <v>41</v>
      </c>
      <c r="FW14" s="172"/>
      <c r="FX14" s="172"/>
      <c r="FY14" s="17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21</v>
      </c>
      <c r="B15" s="63" t="str">
        <f>IF(LEN(C15)=0,"",C15)</f>
        <v xml:space="preserve">Absences - imprévus </v>
      </c>
      <c r="C15" s="18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22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21</v>
      </c>
      <c r="B17" s="63" t="str">
        <f>IF(LEN(C19)=0,"",C19)</f>
        <v>Réalisation - Interfaces</v>
      </c>
      <c r="C17" s="181" t="s">
        <v>33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22</v>
      </c>
      <c r="B18" s="63" t="str">
        <f>IF(LEN(C21)=0,"",C21)</f>
        <v>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21</v>
      </c>
      <c r="B19" s="63" t="str">
        <f>IF(LEN(C23)=0,"",C23)</f>
        <v>Doc - Rapport</v>
      </c>
      <c r="C19" s="181" t="s">
        <v>34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22</v>
      </c>
      <c r="B20" s="63" t="str">
        <f>IF(LEN(C25)=0,"",C25)</f>
        <v>Aide mémoire</v>
      </c>
      <c r="C20" s="19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21</v>
      </c>
      <c r="B21" s="63" t="str">
        <f>IF(LEN(C27)=0,"",C27)</f>
        <v>Codage</v>
      </c>
      <c r="C21" s="181" t="s">
        <v>18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22</v>
      </c>
      <c r="B22" s="63" t="str">
        <f>IF(LEN(C29)=0,"",C29)</f>
        <v/>
      </c>
      <c r="C22" s="19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21</v>
      </c>
      <c r="B23" s="63" t="str">
        <f>IF(LEN(C31)=0,"",C31)</f>
        <v/>
      </c>
      <c r="C23" s="181" t="s">
        <v>17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22</v>
      </c>
      <c r="B24" s="63" t="str">
        <f>IF(LEN(C33)=0,"",C33)</f>
        <v/>
      </c>
      <c r="C24" s="19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21</v>
      </c>
      <c r="B25" s="63" t="str">
        <f>IF(LEN(C35)=0,"",C35)</f>
        <v/>
      </c>
      <c r="C25" s="181" t="s">
        <v>47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22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21</v>
      </c>
      <c r="B27" s="63" t="str">
        <f>IF(LEN(C39)=0,"",C39)</f>
        <v/>
      </c>
      <c r="C27" s="181" t="s">
        <v>48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22</v>
      </c>
      <c r="B28" s="63" t="str">
        <f>IF(LEN(C41)=0,"",C41)</f>
        <v/>
      </c>
      <c r="C28" s="18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21</v>
      </c>
      <c r="B29" s="63" t="str">
        <f>IF(LEN(C43)=0,"",C43)</f>
        <v/>
      </c>
      <c r="C29" s="181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22</v>
      </c>
      <c r="B30" s="63" t="str">
        <f>IF(LEN(C45)=0,"",C45)</f>
        <v/>
      </c>
      <c r="C30" s="18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21</v>
      </c>
      <c r="B31" s="63" t="str">
        <f>IF(LEN(C47)=0,"",C47)</f>
        <v/>
      </c>
      <c r="C31" s="181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22</v>
      </c>
      <c r="B32" s="63" t="str">
        <f>IF(LEN(C49)=0,"",C49)</f>
        <v/>
      </c>
      <c r="C32" s="18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21</v>
      </c>
      <c r="B33" s="63" t="str">
        <f>IF(LEN(C51)=0,"",C51)</f>
        <v/>
      </c>
      <c r="C33" s="181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22</v>
      </c>
      <c r="B34" s="63" t="str">
        <f>IF(LEN(C53)=0,"",C53)</f>
        <v/>
      </c>
      <c r="C34" s="18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21</v>
      </c>
      <c r="B35" s="63" t="str">
        <f>IF(LEN(C55)=0,"",C55)</f>
        <v/>
      </c>
      <c r="C35" s="18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22</v>
      </c>
      <c r="B36" s="63" t="str">
        <f>IF(LEN(C57)=0,"",C57)</f>
        <v/>
      </c>
      <c r="C36" s="19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21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22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21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22</v>
      </c>
      <c r="B40" s="63" t="str">
        <f>IF(LEN(C65)=0,"",C65)</f>
        <v/>
      </c>
      <c r="C40" s="19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21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22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21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22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21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22</v>
      </c>
      <c r="B46" s="63" t="str">
        <f>IF(LEN(C77)=0,"",C77)</f>
        <v/>
      </c>
      <c r="C46" s="19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21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22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21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22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21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22</v>
      </c>
      <c r="B52" s="63" t="str">
        <f>IF(LEN(C89)=0,"",C89)</f>
        <v/>
      </c>
      <c r="C52" s="19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21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22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21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22</v>
      </c>
      <c r="B56" s="63"/>
      <c r="C56" s="19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21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22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21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22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21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22</v>
      </c>
      <c r="B62" s="63"/>
      <c r="C62" s="19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21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22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21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22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21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22</v>
      </c>
      <c r="B68" s="63"/>
      <c r="C68" s="19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21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22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21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22</v>
      </c>
      <c r="B72" s="63"/>
      <c r="C72" s="19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21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22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21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22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21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22</v>
      </c>
      <c r="B78" s="63"/>
      <c r="C78" s="19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21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22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21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22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21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22</v>
      </c>
      <c r="B84" s="63"/>
      <c r="C84" s="19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21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22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21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22</v>
      </c>
      <c r="B88" s="63"/>
      <c r="C88" s="19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21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22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21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22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21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22</v>
      </c>
      <c r="B94" s="63"/>
      <c r="C94" s="19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9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7" t="s">
        <v>10</v>
      </c>
      <c r="D97" s="178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9"/>
      <c r="D98" s="180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13</v>
      </c>
      <c r="B2" s="165">
        <v>1</v>
      </c>
      <c r="C2" s="165"/>
      <c r="D2" s="158" t="s">
        <v>16</v>
      </c>
      <c r="E2" s="159">
        <v>45244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43</v>
      </c>
      <c r="C3" s="161"/>
      <c r="D3" s="78" t="s">
        <v>14</v>
      </c>
      <c r="E3" s="206" t="s">
        <v>15</v>
      </c>
      <c r="F3" s="207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30</v>
      </c>
      <c r="B12" s="83">
        <f>SUM(B4:B11)</f>
        <v>0</v>
      </c>
      <c r="C12" s="163" t="str">
        <f xml:space="preserve"> setValueToTime(B12)</f>
        <v>0h</v>
      </c>
      <c r="D12" s="121"/>
      <c r="E12" s="204"/>
      <c r="F12" s="205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9" t="s">
        <v>13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90"/>
    </row>
    <row r="14" spans="1:61" ht="15.75" thickBot="1" x14ac:dyDescent="0.35">
      <c r="A14" s="103"/>
      <c r="B14" s="104"/>
      <c r="C14" s="104"/>
      <c r="D14" s="104"/>
      <c r="E14" s="172" t="s">
        <v>37</v>
      </c>
      <c r="F14" s="172"/>
      <c r="G14" s="172"/>
      <c r="H14" s="172"/>
      <c r="I14" s="104"/>
      <c r="J14" s="104"/>
      <c r="K14" s="168" t="s">
        <v>25</v>
      </c>
      <c r="L14" s="168"/>
      <c r="M14" s="168"/>
      <c r="N14" s="168"/>
      <c r="O14" s="129"/>
      <c r="P14" s="129"/>
      <c r="Q14" s="172" t="s">
        <v>38</v>
      </c>
      <c r="R14" s="172"/>
      <c r="S14" s="172"/>
      <c r="T14" s="172"/>
      <c r="U14" s="104"/>
      <c r="V14" s="104"/>
      <c r="W14" s="168" t="s">
        <v>26</v>
      </c>
      <c r="X14" s="168"/>
      <c r="Y14" s="168"/>
      <c r="Z14" s="168"/>
      <c r="AA14" s="129"/>
      <c r="AB14" s="129"/>
      <c r="AC14" s="172" t="s">
        <v>39</v>
      </c>
      <c r="AD14" s="172"/>
      <c r="AE14" s="172"/>
      <c r="AF14" s="172"/>
      <c r="AG14" s="104"/>
      <c r="AH14" s="104"/>
      <c r="AI14" s="168" t="s">
        <v>27</v>
      </c>
      <c r="AJ14" s="168"/>
      <c r="AK14" s="168"/>
      <c r="AL14" s="168"/>
      <c r="AM14" s="129"/>
      <c r="AN14" s="129"/>
      <c r="AO14" s="172" t="s">
        <v>40</v>
      </c>
      <c r="AP14" s="172"/>
      <c r="AQ14" s="172"/>
      <c r="AR14" s="172"/>
      <c r="AS14" s="104"/>
      <c r="AT14" s="104"/>
      <c r="AU14" s="168" t="s">
        <v>28</v>
      </c>
      <c r="AV14" s="168"/>
      <c r="AW14" s="168"/>
      <c r="AX14" s="168"/>
      <c r="AY14" s="129"/>
      <c r="AZ14" s="129"/>
      <c r="BA14" s="172" t="s">
        <v>41</v>
      </c>
      <c r="BB14" s="172"/>
      <c r="BC14" s="172"/>
      <c r="BD14" s="17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13</v>
      </c>
      <c r="B1" s="164">
        <v>1</v>
      </c>
      <c r="C1" s="164"/>
      <c r="D1" s="82" t="s">
        <v>16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43</v>
      </c>
      <c r="C2" s="152"/>
      <c r="D2" s="80" t="s">
        <v>14</v>
      </c>
      <c r="E2" s="212" t="s">
        <v>15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30</v>
      </c>
      <c r="B11" s="84">
        <f>SUM(B3:B10)</f>
        <v>0</v>
      </c>
      <c r="C11" s="111" t="str">
        <f xml:space="preserve"> setValueToTime(B11)</f>
        <v>0h</v>
      </c>
      <c r="D11" s="120"/>
      <c r="E11" s="210"/>
      <c r="F11" s="21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13</v>
      </c>
      <c r="B1" s="165">
        <v>1</v>
      </c>
      <c r="C1" s="165"/>
      <c r="D1" s="158" t="s">
        <v>16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43</v>
      </c>
      <c r="C2" s="161"/>
      <c r="D2" s="78" t="s">
        <v>14</v>
      </c>
      <c r="E2" s="206" t="s">
        <v>15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30</v>
      </c>
      <c r="B11" s="83">
        <f>SUM(B3:B10)</f>
        <v>0</v>
      </c>
      <c r="C11" s="163" t="str">
        <f xml:space="preserve"> setValueToTime(B11)</f>
        <v>0h</v>
      </c>
      <c r="D11" s="121"/>
      <c r="E11" s="204"/>
      <c r="F11" s="20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8FA07E3-48F7-4741-BFD5-F28CA9491C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EthanAymeric Schafstall</dc:creator>
  <cp:lastModifiedBy>EthanAymeric Schafstall</cp:lastModifiedBy>
  <cp:lastPrinted>2019-05-08T10:31:53Z</cp:lastPrinted>
  <dcterms:created xsi:type="dcterms:W3CDTF">1996-10-21T11:03:58Z</dcterms:created>
  <dcterms:modified xsi:type="dcterms:W3CDTF">2023-11-14T15:32:09Z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